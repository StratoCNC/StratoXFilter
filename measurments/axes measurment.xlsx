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Sheet2" sheetId="2" r:id="rId2"/>
    <sheet name="Нови измервания след калибрация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84" i="3" l="1"/>
  <c r="DE84" i="3" s="1"/>
  <c r="DB84" i="3"/>
  <c r="DD84" i="3" s="1"/>
  <c r="DC83" i="3"/>
  <c r="DE83" i="3" s="1"/>
  <c r="CZ83" i="3"/>
  <c r="CZ82" i="3" s="1"/>
  <c r="CZ81" i="3" s="1"/>
  <c r="CX83" i="3"/>
  <c r="CX82" i="3" s="1"/>
  <c r="CX81" i="3" s="1"/>
  <c r="CX80" i="3" s="1"/>
  <c r="CX79" i="3" s="1"/>
  <c r="CX78" i="3" s="1"/>
  <c r="CX77" i="3" s="1"/>
  <c r="CX76" i="3" s="1"/>
  <c r="CX75" i="3" s="1"/>
  <c r="CX74" i="3" s="1"/>
  <c r="CX73" i="3" s="1"/>
  <c r="CX72" i="3" s="1"/>
  <c r="CX71" i="3" s="1"/>
  <c r="CX70" i="3" s="1"/>
  <c r="CX69" i="3" s="1"/>
  <c r="CX68" i="3" s="1"/>
  <c r="CX67" i="3" s="1"/>
  <c r="CX66" i="3" s="1"/>
  <c r="CX65" i="3" s="1"/>
  <c r="CX64" i="3" s="1"/>
  <c r="CX63" i="3" s="1"/>
  <c r="CX62" i="3" s="1"/>
  <c r="CX61" i="3" s="1"/>
  <c r="CX60" i="3" s="1"/>
  <c r="CX59" i="3" s="1"/>
  <c r="CX58" i="3" s="1"/>
  <c r="CX57" i="3" s="1"/>
  <c r="CX56" i="3" s="1"/>
  <c r="CX55" i="3" s="1"/>
  <c r="CX54" i="3" s="1"/>
  <c r="CX53" i="3" s="1"/>
  <c r="CX52" i="3" s="1"/>
  <c r="CX51" i="3" s="1"/>
  <c r="CX50" i="3" s="1"/>
  <c r="CX49" i="3" s="1"/>
  <c r="CX48" i="3" s="1"/>
  <c r="CX47" i="3" s="1"/>
  <c r="CX46" i="3" s="1"/>
  <c r="CX45" i="3" s="1"/>
  <c r="CX44" i="3" s="1"/>
  <c r="CX43" i="3" s="1"/>
  <c r="CX42" i="3" s="1"/>
  <c r="CX41" i="3" s="1"/>
  <c r="CX40" i="3" s="1"/>
  <c r="CX39" i="3" s="1"/>
  <c r="CX38" i="3" s="1"/>
  <c r="CX37" i="3" s="1"/>
  <c r="CX36" i="3" s="1"/>
  <c r="CX35" i="3" s="1"/>
  <c r="CX34" i="3" s="1"/>
  <c r="CX33" i="3" s="1"/>
  <c r="CX32" i="3" s="1"/>
  <c r="CX31" i="3" s="1"/>
  <c r="CX30" i="3" s="1"/>
  <c r="CX29" i="3" s="1"/>
  <c r="CX28" i="3" s="1"/>
  <c r="CX27" i="3" s="1"/>
  <c r="CX26" i="3" s="1"/>
  <c r="CX25" i="3" s="1"/>
  <c r="CX24" i="3" s="1"/>
  <c r="CX23" i="3" s="1"/>
  <c r="CX22" i="3" s="1"/>
  <c r="CX21" i="3" s="1"/>
  <c r="CX20" i="3" s="1"/>
  <c r="CX19" i="3" s="1"/>
  <c r="CX18" i="3" s="1"/>
  <c r="CX17" i="3" s="1"/>
  <c r="CX16" i="3" s="1"/>
  <c r="CX15" i="3" s="1"/>
  <c r="CX14" i="3" s="1"/>
  <c r="CX13" i="3" s="1"/>
  <c r="CX12" i="3" s="1"/>
  <c r="CX11" i="3" s="1"/>
  <c r="CX10" i="3" s="1"/>
  <c r="CX9" i="3" s="1"/>
  <c r="CV83" i="3"/>
  <c r="DC82" i="3"/>
  <c r="DC81" i="3"/>
  <c r="CY81" i="3"/>
  <c r="DE81" i="3" s="1"/>
  <c r="CV81" i="3"/>
  <c r="DC80" i="3"/>
  <c r="CY80" i="3"/>
  <c r="CV80" i="3"/>
  <c r="DC79" i="3"/>
  <c r="CV79" i="3" s="1"/>
  <c r="DC78" i="3"/>
  <c r="CV78" i="3"/>
  <c r="DC77" i="3"/>
  <c r="CV77" i="3" s="1"/>
  <c r="DC76" i="3"/>
  <c r="CV76" i="3"/>
  <c r="DC75" i="3"/>
  <c r="CV75" i="3" s="1"/>
  <c r="DC74" i="3"/>
  <c r="CV74" i="3" s="1"/>
  <c r="DC73" i="3"/>
  <c r="CV73" i="3"/>
  <c r="DC72" i="3"/>
  <c r="CV72" i="3"/>
  <c r="DC71" i="3"/>
  <c r="CV71" i="3"/>
  <c r="DC70" i="3"/>
  <c r="CV70" i="3" s="1"/>
  <c r="DC69" i="3"/>
  <c r="CV69" i="3" s="1"/>
  <c r="DC68" i="3"/>
  <c r="CV68" i="3"/>
  <c r="DC67" i="3"/>
  <c r="CV67" i="3" s="1"/>
  <c r="DC66" i="3"/>
  <c r="CV66" i="3"/>
  <c r="DC65" i="3"/>
  <c r="CV65" i="3" s="1"/>
  <c r="DC64" i="3"/>
  <c r="CV64" i="3" s="1"/>
  <c r="DC63" i="3"/>
  <c r="CV63" i="3"/>
  <c r="DC62" i="3"/>
  <c r="CV62" i="3"/>
  <c r="DC61" i="3"/>
  <c r="CV61" i="3" s="1"/>
  <c r="DC60" i="3"/>
  <c r="CV60" i="3"/>
  <c r="DC59" i="3"/>
  <c r="CV59" i="3" s="1"/>
  <c r="DC58" i="3"/>
  <c r="CV58" i="3" s="1"/>
  <c r="DC57" i="3"/>
  <c r="CV57" i="3"/>
  <c r="DC56" i="3"/>
  <c r="CV56" i="3"/>
  <c r="DC55" i="3"/>
  <c r="CV55" i="3" s="1"/>
  <c r="DC54" i="3"/>
  <c r="CV54" i="3" s="1"/>
  <c r="DC53" i="3"/>
  <c r="CV53" i="3" s="1"/>
  <c r="DC52" i="3"/>
  <c r="CV52" i="3" s="1"/>
  <c r="DC51" i="3"/>
  <c r="CV51" i="3"/>
  <c r="DC50" i="3"/>
  <c r="CV50" i="3" s="1"/>
  <c r="DC49" i="3"/>
  <c r="CV49" i="3" s="1"/>
  <c r="DC48" i="3"/>
  <c r="CV48" i="3"/>
  <c r="DC47" i="3"/>
  <c r="CV47" i="3" s="1"/>
  <c r="DC46" i="3"/>
  <c r="CV46" i="3"/>
  <c r="DC45" i="3"/>
  <c r="CV45" i="3"/>
  <c r="DC44" i="3"/>
  <c r="CV44" i="3" s="1"/>
  <c r="DC43" i="3"/>
  <c r="CV43" i="3"/>
  <c r="DC42" i="3"/>
  <c r="CV42" i="3"/>
  <c r="DC41" i="3"/>
  <c r="CV41" i="3"/>
  <c r="DC40" i="3"/>
  <c r="CV40" i="3"/>
  <c r="DC39" i="3"/>
  <c r="CV39" i="3" s="1"/>
  <c r="DC38" i="3"/>
  <c r="CV38" i="3" s="1"/>
  <c r="DC37" i="3"/>
  <c r="CV37" i="3"/>
  <c r="DC36" i="3"/>
  <c r="CV36" i="3"/>
  <c r="DC35" i="3"/>
  <c r="CV35" i="3" s="1"/>
  <c r="DC34" i="3"/>
  <c r="CV34" i="3" s="1"/>
  <c r="DC33" i="3"/>
  <c r="CV33" i="3" s="1"/>
  <c r="DC32" i="3"/>
  <c r="CV32" i="3" s="1"/>
  <c r="DC31" i="3"/>
  <c r="CV31" i="3"/>
  <c r="DC30" i="3"/>
  <c r="CV30" i="3"/>
  <c r="DC29" i="3"/>
  <c r="CV29" i="3" s="1"/>
  <c r="DC28" i="3"/>
  <c r="CV28" i="3"/>
  <c r="DC27" i="3"/>
  <c r="CV27" i="3" s="1"/>
  <c r="DC26" i="3"/>
  <c r="CV26" i="3"/>
  <c r="DC25" i="3"/>
  <c r="CV25" i="3"/>
  <c r="DC24" i="3"/>
  <c r="CV24" i="3" s="1"/>
  <c r="DC23" i="3"/>
  <c r="CV23" i="3"/>
  <c r="DC22" i="3"/>
  <c r="CV22" i="3"/>
  <c r="DC21" i="3"/>
  <c r="CV21" i="3"/>
  <c r="DC20" i="3"/>
  <c r="CV20" i="3"/>
  <c r="DC19" i="3"/>
  <c r="CV19" i="3" s="1"/>
  <c r="DC18" i="3"/>
  <c r="CV18" i="3" s="1"/>
  <c r="DC17" i="3"/>
  <c r="CV17" i="3"/>
  <c r="DC16" i="3"/>
  <c r="CV16" i="3"/>
  <c r="DC15" i="3"/>
  <c r="CV15" i="3" s="1"/>
  <c r="DC14" i="3"/>
  <c r="CV14" i="3" s="1"/>
  <c r="DC13" i="3"/>
  <c r="CV13" i="3"/>
  <c r="DC12" i="3"/>
  <c r="CV12" i="3" s="1"/>
  <c r="DC11" i="3"/>
  <c r="CV11" i="3"/>
  <c r="DC10" i="3"/>
  <c r="CV10" i="3"/>
  <c r="DC9" i="3"/>
  <c r="CV9" i="3" s="1"/>
  <c r="CR84" i="3"/>
  <c r="CT84" i="3" s="1"/>
  <c r="CQ84" i="3"/>
  <c r="CS84" i="3" s="1"/>
  <c r="CR83" i="3"/>
  <c r="CT83" i="3" s="1"/>
  <c r="CO83" i="3"/>
  <c r="CM83" i="3"/>
  <c r="CR82" i="3"/>
  <c r="CT82" i="3" s="1"/>
  <c r="CO82" i="3"/>
  <c r="CM82" i="3"/>
  <c r="CM81" i="3" s="1"/>
  <c r="CM80" i="3" s="1"/>
  <c r="CM79" i="3" s="1"/>
  <c r="CM78" i="3" s="1"/>
  <c r="CM77" i="3" s="1"/>
  <c r="CM76" i="3" s="1"/>
  <c r="CM75" i="3" s="1"/>
  <c r="CM74" i="3" s="1"/>
  <c r="CM73" i="3" s="1"/>
  <c r="CM72" i="3" s="1"/>
  <c r="CM71" i="3" s="1"/>
  <c r="CM70" i="3" s="1"/>
  <c r="CM69" i="3" s="1"/>
  <c r="CM68" i="3" s="1"/>
  <c r="CM67" i="3" s="1"/>
  <c r="CM66" i="3" s="1"/>
  <c r="CM65" i="3" s="1"/>
  <c r="CM64" i="3" s="1"/>
  <c r="CM63" i="3" s="1"/>
  <c r="CM62" i="3" s="1"/>
  <c r="CM61" i="3" s="1"/>
  <c r="CM60" i="3" s="1"/>
  <c r="CM59" i="3" s="1"/>
  <c r="CM58" i="3" s="1"/>
  <c r="CM57" i="3" s="1"/>
  <c r="CM56" i="3" s="1"/>
  <c r="CM55" i="3" s="1"/>
  <c r="CM54" i="3" s="1"/>
  <c r="CM53" i="3" s="1"/>
  <c r="CM52" i="3" s="1"/>
  <c r="CM51" i="3" s="1"/>
  <c r="CM50" i="3" s="1"/>
  <c r="CM49" i="3" s="1"/>
  <c r="CM48" i="3" s="1"/>
  <c r="CM47" i="3" s="1"/>
  <c r="CM46" i="3" s="1"/>
  <c r="CM45" i="3" s="1"/>
  <c r="CM44" i="3" s="1"/>
  <c r="CM43" i="3" s="1"/>
  <c r="CM42" i="3" s="1"/>
  <c r="CM41" i="3" s="1"/>
  <c r="CM40" i="3" s="1"/>
  <c r="CM39" i="3" s="1"/>
  <c r="CM38" i="3" s="1"/>
  <c r="CM37" i="3" s="1"/>
  <c r="CM36" i="3" s="1"/>
  <c r="CM35" i="3" s="1"/>
  <c r="CM34" i="3" s="1"/>
  <c r="CM33" i="3" s="1"/>
  <c r="CM32" i="3" s="1"/>
  <c r="CM31" i="3" s="1"/>
  <c r="CM30" i="3" s="1"/>
  <c r="CM29" i="3" s="1"/>
  <c r="CM28" i="3" s="1"/>
  <c r="CM27" i="3" s="1"/>
  <c r="CM26" i="3" s="1"/>
  <c r="CM25" i="3" s="1"/>
  <c r="CM24" i="3" s="1"/>
  <c r="CM23" i="3" s="1"/>
  <c r="CM22" i="3" s="1"/>
  <c r="CM21" i="3" s="1"/>
  <c r="CM20" i="3" s="1"/>
  <c r="CM19" i="3" s="1"/>
  <c r="CM18" i="3" s="1"/>
  <c r="CM17" i="3" s="1"/>
  <c r="CM16" i="3" s="1"/>
  <c r="CM15" i="3" s="1"/>
  <c r="CM14" i="3" s="1"/>
  <c r="CM13" i="3" s="1"/>
  <c r="CM12" i="3" s="1"/>
  <c r="CM11" i="3" s="1"/>
  <c r="CM10" i="3" s="1"/>
  <c r="CM9" i="3" s="1"/>
  <c r="CK82" i="3"/>
  <c r="CR81" i="3"/>
  <c r="CK81" i="3" s="1"/>
  <c r="CN81" i="3"/>
  <c r="CN80" i="3" s="1"/>
  <c r="CN79" i="3" s="1"/>
  <c r="CN78" i="3" s="1"/>
  <c r="CR80" i="3"/>
  <c r="CR79" i="3"/>
  <c r="CK79" i="3" s="1"/>
  <c r="CR78" i="3"/>
  <c r="CK78" i="3" s="1"/>
  <c r="CR77" i="3"/>
  <c r="CR76" i="3"/>
  <c r="CK76" i="3" s="1"/>
  <c r="CR75" i="3"/>
  <c r="CK75" i="3" s="1"/>
  <c r="CR74" i="3"/>
  <c r="CR73" i="3"/>
  <c r="CK73" i="3"/>
  <c r="CR72" i="3"/>
  <c r="CK72" i="3"/>
  <c r="CR71" i="3"/>
  <c r="CK71" i="3"/>
  <c r="CR70" i="3"/>
  <c r="CK70" i="3" s="1"/>
  <c r="CR69" i="3"/>
  <c r="CR68" i="3"/>
  <c r="CR67" i="3"/>
  <c r="CK67" i="3" s="1"/>
  <c r="CR66" i="3"/>
  <c r="CK66" i="3"/>
  <c r="CR65" i="3"/>
  <c r="CR64" i="3"/>
  <c r="CR63" i="3"/>
  <c r="CK63" i="3" s="1"/>
  <c r="CR62" i="3"/>
  <c r="CK62" i="3" s="1"/>
  <c r="CR61" i="3"/>
  <c r="CR60" i="3"/>
  <c r="CK60" i="3" s="1"/>
  <c r="CR59" i="3"/>
  <c r="CK59" i="3" s="1"/>
  <c r="CR58" i="3"/>
  <c r="CK58" i="3"/>
  <c r="CR57" i="3"/>
  <c r="CK57" i="3" s="1"/>
  <c r="CR56" i="3"/>
  <c r="CK56" i="3" s="1"/>
  <c r="CR55" i="3"/>
  <c r="CK55" i="3"/>
  <c r="CR54" i="3"/>
  <c r="CK54" i="3" s="1"/>
  <c r="CR53" i="3"/>
  <c r="CK53" i="3" s="1"/>
  <c r="CR52" i="3"/>
  <c r="CR51" i="3"/>
  <c r="CK51" i="3" s="1"/>
  <c r="CR50" i="3"/>
  <c r="CR49" i="3"/>
  <c r="CR48" i="3"/>
  <c r="CR47" i="3"/>
  <c r="CK47" i="3" s="1"/>
  <c r="CR46" i="3"/>
  <c r="CK46" i="3"/>
  <c r="CR45" i="3"/>
  <c r="CK45" i="3"/>
  <c r="CR44" i="3"/>
  <c r="CK44" i="3" s="1"/>
  <c r="CR43" i="3"/>
  <c r="CR42" i="3"/>
  <c r="CK42" i="3"/>
  <c r="CR41" i="3"/>
  <c r="CK41" i="3" s="1"/>
  <c r="CR40" i="3"/>
  <c r="CR39" i="3"/>
  <c r="CR38" i="3"/>
  <c r="CK38" i="3" s="1"/>
  <c r="CR37" i="3"/>
  <c r="CK37" i="3" s="1"/>
  <c r="CR36" i="3"/>
  <c r="CR35" i="3"/>
  <c r="CR34" i="3"/>
  <c r="CK34" i="3" s="1"/>
  <c r="CR33" i="3"/>
  <c r="CK33" i="3"/>
  <c r="CR32" i="3"/>
  <c r="CK32" i="3" s="1"/>
  <c r="CR31" i="3"/>
  <c r="CK31" i="3"/>
  <c r="CR30" i="3"/>
  <c r="CK30" i="3"/>
  <c r="CR29" i="3"/>
  <c r="CK29" i="3" s="1"/>
  <c r="CR28" i="3"/>
  <c r="CR27" i="3"/>
  <c r="CR26" i="3"/>
  <c r="CK26" i="3" s="1"/>
  <c r="CR25" i="3"/>
  <c r="CK25" i="3" s="1"/>
  <c r="CR24" i="3"/>
  <c r="CR23" i="3"/>
  <c r="CR22" i="3"/>
  <c r="CR21" i="3"/>
  <c r="CK21" i="3"/>
  <c r="CR20" i="3"/>
  <c r="CK20" i="3" s="1"/>
  <c r="CR19" i="3"/>
  <c r="CK19" i="3" s="1"/>
  <c r="CR18" i="3"/>
  <c r="CK18" i="3"/>
  <c r="CR17" i="3"/>
  <c r="CK17" i="3" s="1"/>
  <c r="CR16" i="3"/>
  <c r="CR15" i="3"/>
  <c r="CR14" i="3"/>
  <c r="CR13" i="3"/>
  <c r="CK13" i="3" s="1"/>
  <c r="CR12" i="3"/>
  <c r="CR11" i="3"/>
  <c r="CR10" i="3"/>
  <c r="CK10" i="3" s="1"/>
  <c r="CR9" i="3"/>
  <c r="CG84" i="3"/>
  <c r="CI84" i="3" s="1"/>
  <c r="CF84" i="3"/>
  <c r="CH84" i="3" s="1"/>
  <c r="CG83" i="3"/>
  <c r="CI83" i="3" s="1"/>
  <c r="CD83" i="3"/>
  <c r="CB83" i="3"/>
  <c r="CB82" i="3" s="1"/>
  <c r="CB81" i="3" s="1"/>
  <c r="CB80" i="3" s="1"/>
  <c r="CB79" i="3" s="1"/>
  <c r="CB78" i="3" s="1"/>
  <c r="CB77" i="3" s="1"/>
  <c r="CB76" i="3" s="1"/>
  <c r="CB75" i="3" s="1"/>
  <c r="CB74" i="3" s="1"/>
  <c r="CB73" i="3" s="1"/>
  <c r="CB72" i="3" s="1"/>
  <c r="CB71" i="3" s="1"/>
  <c r="CB70" i="3" s="1"/>
  <c r="CB69" i="3" s="1"/>
  <c r="CB68" i="3" s="1"/>
  <c r="CB67" i="3" s="1"/>
  <c r="CB66" i="3" s="1"/>
  <c r="CB65" i="3" s="1"/>
  <c r="CB64" i="3" s="1"/>
  <c r="CB63" i="3" s="1"/>
  <c r="CB62" i="3" s="1"/>
  <c r="CB61" i="3" s="1"/>
  <c r="CB60" i="3" s="1"/>
  <c r="CB59" i="3" s="1"/>
  <c r="CB58" i="3" s="1"/>
  <c r="CB57" i="3" s="1"/>
  <c r="CB56" i="3" s="1"/>
  <c r="CB55" i="3" s="1"/>
  <c r="CB54" i="3" s="1"/>
  <c r="CB53" i="3" s="1"/>
  <c r="CB52" i="3" s="1"/>
  <c r="CB51" i="3" s="1"/>
  <c r="CB50" i="3" s="1"/>
  <c r="CB49" i="3" s="1"/>
  <c r="CB48" i="3" s="1"/>
  <c r="CB47" i="3" s="1"/>
  <c r="CB46" i="3" s="1"/>
  <c r="CB45" i="3" s="1"/>
  <c r="CB44" i="3" s="1"/>
  <c r="CB43" i="3" s="1"/>
  <c r="CB42" i="3" s="1"/>
  <c r="CB41" i="3" s="1"/>
  <c r="CB40" i="3" s="1"/>
  <c r="CB39" i="3" s="1"/>
  <c r="CB38" i="3" s="1"/>
  <c r="CB37" i="3" s="1"/>
  <c r="CB36" i="3" s="1"/>
  <c r="CB35" i="3" s="1"/>
  <c r="CB34" i="3" s="1"/>
  <c r="CB33" i="3" s="1"/>
  <c r="CB32" i="3" s="1"/>
  <c r="CB31" i="3" s="1"/>
  <c r="CB30" i="3" s="1"/>
  <c r="CB29" i="3" s="1"/>
  <c r="CB28" i="3" s="1"/>
  <c r="CB27" i="3" s="1"/>
  <c r="CB26" i="3" s="1"/>
  <c r="CB25" i="3" s="1"/>
  <c r="CB24" i="3" s="1"/>
  <c r="CB23" i="3" s="1"/>
  <c r="CB22" i="3" s="1"/>
  <c r="CB21" i="3" s="1"/>
  <c r="CB20" i="3" s="1"/>
  <c r="CB19" i="3" s="1"/>
  <c r="CB18" i="3" s="1"/>
  <c r="CB17" i="3" s="1"/>
  <c r="CB16" i="3" s="1"/>
  <c r="CB15" i="3" s="1"/>
  <c r="CB14" i="3" s="1"/>
  <c r="CB13" i="3" s="1"/>
  <c r="CB12" i="3" s="1"/>
  <c r="CB11" i="3" s="1"/>
  <c r="CB10" i="3" s="1"/>
  <c r="CB9" i="3" s="1"/>
  <c r="CG82" i="3"/>
  <c r="CI82" i="3" s="1"/>
  <c r="CG81" i="3"/>
  <c r="CC81" i="3"/>
  <c r="CG80" i="3"/>
  <c r="CC80" i="3"/>
  <c r="CG79" i="3"/>
  <c r="CC79" i="3"/>
  <c r="CC78" i="3" s="1"/>
  <c r="CG78" i="3"/>
  <c r="CG77" i="3"/>
  <c r="CG76" i="3"/>
  <c r="CG75" i="3"/>
  <c r="CG74" i="3"/>
  <c r="CG73" i="3"/>
  <c r="CG72" i="3"/>
  <c r="CG71" i="3"/>
  <c r="CG70" i="3"/>
  <c r="CG69" i="3"/>
  <c r="CG68" i="3"/>
  <c r="CG67" i="3"/>
  <c r="CG66" i="3"/>
  <c r="CG65" i="3"/>
  <c r="CG64" i="3"/>
  <c r="CG63" i="3"/>
  <c r="CG62" i="3"/>
  <c r="CG61" i="3"/>
  <c r="CG60" i="3"/>
  <c r="CG59" i="3"/>
  <c r="CG58" i="3"/>
  <c r="CG57" i="3"/>
  <c r="CG56" i="3"/>
  <c r="CG55" i="3"/>
  <c r="CG54" i="3"/>
  <c r="CG53" i="3"/>
  <c r="CG52" i="3"/>
  <c r="CK52" i="3" s="1"/>
  <c r="CG51" i="3"/>
  <c r="CG50" i="3"/>
  <c r="CG49" i="3"/>
  <c r="CG48" i="3"/>
  <c r="CG47" i="3"/>
  <c r="CG46" i="3"/>
  <c r="CG45" i="3"/>
  <c r="CG44" i="3"/>
  <c r="CG43" i="3"/>
  <c r="CG42" i="3"/>
  <c r="CG41" i="3"/>
  <c r="CG40" i="3"/>
  <c r="CG39" i="3"/>
  <c r="CG38" i="3"/>
  <c r="CG37" i="3"/>
  <c r="CG36" i="3"/>
  <c r="CK36" i="3" s="1"/>
  <c r="CG35" i="3"/>
  <c r="CG34" i="3"/>
  <c r="CG33" i="3"/>
  <c r="CG32" i="3"/>
  <c r="CG31" i="3"/>
  <c r="CG30" i="3"/>
  <c r="CG29" i="3"/>
  <c r="CG28" i="3"/>
  <c r="CG27" i="3"/>
  <c r="CG26" i="3"/>
  <c r="CG25" i="3"/>
  <c r="CG24" i="3"/>
  <c r="CG23" i="3"/>
  <c r="CG22" i="3"/>
  <c r="CK22" i="3" s="1"/>
  <c r="CG21" i="3"/>
  <c r="CG20" i="3"/>
  <c r="CG19" i="3"/>
  <c r="CG18" i="3"/>
  <c r="CG17" i="3"/>
  <c r="CG16" i="3"/>
  <c r="CK16" i="3" s="1"/>
  <c r="CG15" i="3"/>
  <c r="CK15" i="3" s="1"/>
  <c r="CG14" i="3"/>
  <c r="CG13" i="3"/>
  <c r="CG12" i="3"/>
  <c r="CK12" i="3" s="1"/>
  <c r="CG11" i="3"/>
  <c r="CK11" i="3" s="1"/>
  <c r="CG10" i="3"/>
  <c r="CG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9" i="3"/>
  <c r="AV84" i="3"/>
  <c r="AT84" i="3"/>
  <c r="AV83" i="3"/>
  <c r="AN83" i="3" s="1"/>
  <c r="AT83" i="3"/>
  <c r="AV82" i="3"/>
  <c r="AT82" i="3"/>
  <c r="AV81" i="3"/>
  <c r="AT81" i="3"/>
  <c r="AV80" i="3"/>
  <c r="AT80" i="3"/>
  <c r="AV79" i="3"/>
  <c r="AT79" i="3"/>
  <c r="AV78" i="3"/>
  <c r="AT78" i="3"/>
  <c r="AV77" i="3"/>
  <c r="AT77" i="3"/>
  <c r="AV76" i="3"/>
  <c r="AT76" i="3"/>
  <c r="AV75" i="3"/>
  <c r="AN75" i="3" s="1"/>
  <c r="AT75" i="3"/>
  <c r="AV74" i="3"/>
  <c r="AT74" i="3"/>
  <c r="AV73" i="3"/>
  <c r="AT73" i="3"/>
  <c r="AN73" i="3"/>
  <c r="AV72" i="3"/>
  <c r="AT72" i="3"/>
  <c r="AV71" i="3"/>
  <c r="AT71" i="3"/>
  <c r="AV70" i="3"/>
  <c r="AN70" i="3" s="1"/>
  <c r="AT70" i="3"/>
  <c r="AV69" i="3"/>
  <c r="AT69" i="3"/>
  <c r="AV68" i="3"/>
  <c r="AT68" i="3"/>
  <c r="AV67" i="3"/>
  <c r="AT67" i="3"/>
  <c r="AV66" i="3"/>
  <c r="AT66" i="3"/>
  <c r="AV65" i="3"/>
  <c r="AT65" i="3"/>
  <c r="AN65" i="3"/>
  <c r="AV64" i="3"/>
  <c r="AN64" i="3" s="1"/>
  <c r="AT64" i="3"/>
  <c r="AV63" i="3"/>
  <c r="AT63" i="3"/>
  <c r="AV62" i="3"/>
  <c r="AT62" i="3"/>
  <c r="AV61" i="3"/>
  <c r="AT61" i="3"/>
  <c r="AV60" i="3"/>
  <c r="AT60" i="3"/>
  <c r="AV59" i="3"/>
  <c r="AT59" i="3"/>
  <c r="AV58" i="3"/>
  <c r="AN58" i="3" s="1"/>
  <c r="AT58" i="3"/>
  <c r="AV57" i="3"/>
  <c r="AN57" i="3" s="1"/>
  <c r="AT57" i="3"/>
  <c r="AV56" i="3"/>
  <c r="AT56" i="3"/>
  <c r="AN56" i="3"/>
  <c r="AV55" i="3"/>
  <c r="AN55" i="3" s="1"/>
  <c r="AT55" i="3"/>
  <c r="AV54" i="3"/>
  <c r="AT54" i="3"/>
  <c r="AV53" i="3"/>
  <c r="AT53" i="3"/>
  <c r="AV52" i="3"/>
  <c r="AT52" i="3"/>
  <c r="AV51" i="3"/>
  <c r="AT51" i="3"/>
  <c r="AV50" i="3"/>
  <c r="AT50" i="3"/>
  <c r="AV49" i="3"/>
  <c r="AT49" i="3"/>
  <c r="AV48" i="3"/>
  <c r="AN48" i="3" s="1"/>
  <c r="AT48" i="3"/>
  <c r="AV47" i="3"/>
  <c r="AN47" i="3" s="1"/>
  <c r="AT47" i="3"/>
  <c r="AV46" i="3"/>
  <c r="AT46" i="3"/>
  <c r="AN46" i="3"/>
  <c r="AV45" i="3"/>
  <c r="AT45" i="3"/>
  <c r="AV44" i="3"/>
  <c r="AT44" i="3"/>
  <c r="AV43" i="3"/>
  <c r="AT43" i="3"/>
  <c r="AV42" i="3"/>
  <c r="AT42" i="3"/>
  <c r="AV41" i="3"/>
  <c r="AT41" i="3"/>
  <c r="AV40" i="3"/>
  <c r="AT40" i="3"/>
  <c r="AN40" i="3"/>
  <c r="AV39" i="3"/>
  <c r="AN39" i="3" s="1"/>
  <c r="AT39" i="3"/>
  <c r="AV38" i="3"/>
  <c r="AN38" i="3" s="1"/>
  <c r="AT38" i="3"/>
  <c r="AV37" i="3"/>
  <c r="AN37" i="3" s="1"/>
  <c r="AT37" i="3"/>
  <c r="AV36" i="3"/>
  <c r="AT36" i="3"/>
  <c r="AV35" i="3"/>
  <c r="AT35" i="3"/>
  <c r="AV34" i="3"/>
  <c r="AT34" i="3"/>
  <c r="AV33" i="3"/>
  <c r="AT33" i="3"/>
  <c r="AV32" i="3"/>
  <c r="AT32" i="3"/>
  <c r="AV31" i="3"/>
  <c r="AN31" i="3" s="1"/>
  <c r="AT31" i="3"/>
  <c r="AV30" i="3"/>
  <c r="AN30" i="3" s="1"/>
  <c r="AT30" i="3"/>
  <c r="AV29" i="3"/>
  <c r="AN29" i="3" s="1"/>
  <c r="AT29" i="3"/>
  <c r="AV28" i="3"/>
  <c r="AT28" i="3"/>
  <c r="AV27" i="3"/>
  <c r="AT27" i="3"/>
  <c r="AV26" i="3"/>
  <c r="AN26" i="3" s="1"/>
  <c r="AT26" i="3"/>
  <c r="AV25" i="3"/>
  <c r="AT25" i="3"/>
  <c r="AV24" i="3"/>
  <c r="AT24" i="3"/>
  <c r="AV23" i="3"/>
  <c r="AT23" i="3"/>
  <c r="AV22" i="3"/>
  <c r="AN22" i="3" s="1"/>
  <c r="AT22" i="3"/>
  <c r="AV21" i="3"/>
  <c r="AT21" i="3"/>
  <c r="AV20" i="3"/>
  <c r="AN20" i="3" s="1"/>
  <c r="AT20" i="3"/>
  <c r="AV19" i="3"/>
  <c r="AT19" i="3"/>
  <c r="AV18" i="3"/>
  <c r="AT18" i="3"/>
  <c r="AV17" i="3"/>
  <c r="AT17" i="3"/>
  <c r="AV16" i="3"/>
  <c r="AT16" i="3"/>
  <c r="AV15" i="3"/>
  <c r="AN15" i="3" s="1"/>
  <c r="AT15" i="3"/>
  <c r="AV14" i="3"/>
  <c r="AT14" i="3"/>
  <c r="AV13" i="3"/>
  <c r="AT13" i="3"/>
  <c r="AN13" i="3"/>
  <c r="AV12" i="3"/>
  <c r="AN12" i="3" s="1"/>
  <c r="AT12" i="3"/>
  <c r="AV11" i="3"/>
  <c r="AT11" i="3"/>
  <c r="AV10" i="3"/>
  <c r="AN10" i="3" s="1"/>
  <c r="AT10" i="3"/>
  <c r="AR10" i="3"/>
  <c r="AP10" i="3"/>
  <c r="AP11" i="3" s="1"/>
  <c r="AP12" i="3" s="1"/>
  <c r="AP13" i="3" s="1"/>
  <c r="AP14" i="3" s="1"/>
  <c r="AP15" i="3" s="1"/>
  <c r="AP16" i="3" s="1"/>
  <c r="AP17" i="3" s="1"/>
  <c r="AP18" i="3" s="1"/>
  <c r="AP19" i="3" s="1"/>
  <c r="AP20" i="3" s="1"/>
  <c r="AP21" i="3" s="1"/>
  <c r="AP22" i="3" s="1"/>
  <c r="AP23" i="3" s="1"/>
  <c r="AP24" i="3" s="1"/>
  <c r="AP25" i="3" s="1"/>
  <c r="AP26" i="3" s="1"/>
  <c r="AP27" i="3" s="1"/>
  <c r="AP28" i="3" s="1"/>
  <c r="AP29" i="3" s="1"/>
  <c r="AP30" i="3" s="1"/>
  <c r="AP31" i="3" s="1"/>
  <c r="AP32" i="3" s="1"/>
  <c r="AP33" i="3" s="1"/>
  <c r="AP34" i="3" s="1"/>
  <c r="AP35" i="3" s="1"/>
  <c r="AP36" i="3" s="1"/>
  <c r="AP37" i="3" s="1"/>
  <c r="AP38" i="3" s="1"/>
  <c r="AP39" i="3" s="1"/>
  <c r="AP40" i="3" s="1"/>
  <c r="AP41" i="3" s="1"/>
  <c r="AP42" i="3" s="1"/>
  <c r="AP43" i="3" s="1"/>
  <c r="AP44" i="3" s="1"/>
  <c r="AP45" i="3" s="1"/>
  <c r="AP46" i="3" s="1"/>
  <c r="AP47" i="3" s="1"/>
  <c r="AP48" i="3" s="1"/>
  <c r="AP49" i="3" s="1"/>
  <c r="AP50" i="3" s="1"/>
  <c r="AP51" i="3" s="1"/>
  <c r="AP52" i="3" s="1"/>
  <c r="AP53" i="3" s="1"/>
  <c r="AP54" i="3" s="1"/>
  <c r="AP55" i="3" s="1"/>
  <c r="AP56" i="3" s="1"/>
  <c r="AP57" i="3" s="1"/>
  <c r="AP58" i="3" s="1"/>
  <c r="AP59" i="3" s="1"/>
  <c r="AP60" i="3" s="1"/>
  <c r="AP61" i="3" s="1"/>
  <c r="AP62" i="3" s="1"/>
  <c r="AP63" i="3" s="1"/>
  <c r="AP64" i="3" s="1"/>
  <c r="AP65" i="3" s="1"/>
  <c r="AP66" i="3" s="1"/>
  <c r="AP67" i="3" s="1"/>
  <c r="AP68" i="3" s="1"/>
  <c r="AP69" i="3" s="1"/>
  <c r="AP70" i="3" s="1"/>
  <c r="AP71" i="3" s="1"/>
  <c r="AP72" i="3" s="1"/>
  <c r="AP73" i="3" s="1"/>
  <c r="AP74" i="3" s="1"/>
  <c r="AP75" i="3" s="1"/>
  <c r="AP76" i="3" s="1"/>
  <c r="AP77" i="3" s="1"/>
  <c r="AP78" i="3" s="1"/>
  <c r="AP79" i="3" s="1"/>
  <c r="AP80" i="3" s="1"/>
  <c r="AP81" i="3" s="1"/>
  <c r="AP82" i="3" s="1"/>
  <c r="AP83" i="3" s="1"/>
  <c r="AP84" i="3" s="1"/>
  <c r="AU9" i="3"/>
  <c r="AV9" i="3" s="1"/>
  <c r="AT9" i="3"/>
  <c r="AL84" i="3"/>
  <c r="AJ84" i="3"/>
  <c r="AL83" i="3"/>
  <c r="AJ83" i="3"/>
  <c r="AD83" i="3"/>
  <c r="AL82" i="3"/>
  <c r="AJ82" i="3"/>
  <c r="AL81" i="3"/>
  <c r="AJ81" i="3"/>
  <c r="AL80" i="3"/>
  <c r="AD80" i="3" s="1"/>
  <c r="AJ80" i="3"/>
  <c r="AL79" i="3"/>
  <c r="AD79" i="3" s="1"/>
  <c r="AJ79" i="3"/>
  <c r="AL78" i="3"/>
  <c r="AJ78" i="3"/>
  <c r="AL77" i="3"/>
  <c r="AN77" i="3" s="1"/>
  <c r="AJ77" i="3"/>
  <c r="AL76" i="3"/>
  <c r="AJ76" i="3"/>
  <c r="AL75" i="3"/>
  <c r="AD75" i="3" s="1"/>
  <c r="AJ75" i="3"/>
  <c r="AL74" i="3"/>
  <c r="AJ74" i="3"/>
  <c r="AL73" i="3"/>
  <c r="AJ73" i="3"/>
  <c r="AL72" i="3"/>
  <c r="AJ72" i="3"/>
  <c r="AL71" i="3"/>
  <c r="AJ71" i="3"/>
  <c r="AL70" i="3"/>
  <c r="AJ70" i="3"/>
  <c r="AL69" i="3"/>
  <c r="AJ69" i="3"/>
  <c r="AL68" i="3"/>
  <c r="AD68" i="3" s="1"/>
  <c r="AJ68" i="3"/>
  <c r="AL67" i="3"/>
  <c r="AN67" i="3" s="1"/>
  <c r="AJ67" i="3"/>
  <c r="AL66" i="3"/>
  <c r="AJ66" i="3"/>
  <c r="AL65" i="3"/>
  <c r="AJ65" i="3"/>
  <c r="AL64" i="3"/>
  <c r="AJ64" i="3"/>
  <c r="AL63" i="3"/>
  <c r="AD63" i="3" s="1"/>
  <c r="AJ63" i="3"/>
  <c r="AL62" i="3"/>
  <c r="AJ62" i="3"/>
  <c r="AD62" i="3"/>
  <c r="AL61" i="3"/>
  <c r="AJ61" i="3"/>
  <c r="AL60" i="3"/>
  <c r="AJ60" i="3"/>
  <c r="AD60" i="3"/>
  <c r="AL59" i="3"/>
  <c r="AD59" i="3" s="1"/>
  <c r="AJ59" i="3"/>
  <c r="AL58" i="3"/>
  <c r="AJ58" i="3"/>
  <c r="AL57" i="3"/>
  <c r="AD57" i="3" s="1"/>
  <c r="AJ57" i="3"/>
  <c r="AL56" i="3"/>
  <c r="AJ56" i="3"/>
  <c r="AL55" i="3"/>
  <c r="AJ55" i="3"/>
  <c r="AL54" i="3"/>
  <c r="AJ54" i="3"/>
  <c r="AL53" i="3"/>
  <c r="AJ53" i="3"/>
  <c r="AL52" i="3"/>
  <c r="AJ52" i="3"/>
  <c r="AL51" i="3"/>
  <c r="AJ51" i="3"/>
  <c r="AL50" i="3"/>
  <c r="AD50" i="3" s="1"/>
  <c r="AJ50" i="3"/>
  <c r="AL49" i="3"/>
  <c r="AJ49" i="3"/>
  <c r="AL48" i="3"/>
  <c r="AJ48" i="3"/>
  <c r="AL47" i="3"/>
  <c r="AJ47" i="3"/>
  <c r="AL46" i="3"/>
  <c r="AJ46" i="3"/>
  <c r="AL45" i="3"/>
  <c r="AJ45" i="3"/>
  <c r="AL44" i="3"/>
  <c r="AJ44" i="3"/>
  <c r="AL43" i="3"/>
  <c r="AN43" i="3" s="1"/>
  <c r="AJ43" i="3"/>
  <c r="AL42" i="3"/>
  <c r="AJ42" i="3"/>
  <c r="AL41" i="3"/>
  <c r="AJ41" i="3"/>
  <c r="AL40" i="3"/>
  <c r="AJ40" i="3"/>
  <c r="AL39" i="3"/>
  <c r="AJ39" i="3"/>
  <c r="AL38" i="3"/>
  <c r="AJ38" i="3"/>
  <c r="AL37" i="3"/>
  <c r="AJ37" i="3"/>
  <c r="AL36" i="3"/>
  <c r="AJ36" i="3"/>
  <c r="AL35" i="3"/>
  <c r="AJ35" i="3"/>
  <c r="AD35" i="3"/>
  <c r="AL34" i="3"/>
  <c r="AJ34" i="3"/>
  <c r="AL33" i="3"/>
  <c r="AN33" i="3" s="1"/>
  <c r="AJ33" i="3"/>
  <c r="AD33" i="3"/>
  <c r="AL32" i="3"/>
  <c r="AD32" i="3" s="1"/>
  <c r="AJ32" i="3"/>
  <c r="AL31" i="3"/>
  <c r="AJ31" i="3"/>
  <c r="AL30" i="3"/>
  <c r="AJ30" i="3"/>
  <c r="AL29" i="3"/>
  <c r="AJ29" i="3"/>
  <c r="AD29" i="3"/>
  <c r="AL28" i="3"/>
  <c r="AD28" i="3" s="1"/>
  <c r="AJ28" i="3"/>
  <c r="AL27" i="3"/>
  <c r="AJ27" i="3"/>
  <c r="AL26" i="3"/>
  <c r="AJ26" i="3"/>
  <c r="AD26" i="3"/>
  <c r="AL25" i="3"/>
  <c r="AJ25" i="3"/>
  <c r="AL24" i="3"/>
  <c r="AJ24" i="3"/>
  <c r="AL23" i="3"/>
  <c r="AN23" i="3" s="1"/>
  <c r="AJ23" i="3"/>
  <c r="AL22" i="3"/>
  <c r="AJ22" i="3"/>
  <c r="AL21" i="3"/>
  <c r="AJ21" i="3"/>
  <c r="AL20" i="3"/>
  <c r="AJ20" i="3"/>
  <c r="AD20" i="3"/>
  <c r="AL19" i="3"/>
  <c r="AD19" i="3" s="1"/>
  <c r="AJ19" i="3"/>
  <c r="AL18" i="3"/>
  <c r="AD18" i="3" s="1"/>
  <c r="AJ18" i="3"/>
  <c r="AL17" i="3"/>
  <c r="AD17" i="3" s="1"/>
  <c r="AJ17" i="3"/>
  <c r="AL16" i="3"/>
  <c r="AN16" i="3" s="1"/>
  <c r="AJ16" i="3"/>
  <c r="AL15" i="3"/>
  <c r="AJ15" i="3"/>
  <c r="AL14" i="3"/>
  <c r="AJ14" i="3"/>
  <c r="AL13" i="3"/>
  <c r="AJ13" i="3"/>
  <c r="AL12" i="3"/>
  <c r="AJ12" i="3"/>
  <c r="AL11" i="3"/>
  <c r="AJ11" i="3"/>
  <c r="AL10" i="3"/>
  <c r="AJ10" i="3"/>
  <c r="AH10" i="3"/>
  <c r="AF10" i="3"/>
  <c r="AF11" i="3" s="1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AF38" i="3" s="1"/>
  <c r="AF39" i="3" s="1"/>
  <c r="AF40" i="3" s="1"/>
  <c r="AF41" i="3" s="1"/>
  <c r="AF42" i="3" s="1"/>
  <c r="AF43" i="3" s="1"/>
  <c r="AF44" i="3" s="1"/>
  <c r="AF45" i="3" s="1"/>
  <c r="AF46" i="3" s="1"/>
  <c r="AF47" i="3" s="1"/>
  <c r="AF48" i="3" s="1"/>
  <c r="AF49" i="3" s="1"/>
  <c r="AF50" i="3" s="1"/>
  <c r="AF51" i="3" s="1"/>
  <c r="AF52" i="3" s="1"/>
  <c r="AF53" i="3" s="1"/>
  <c r="AF54" i="3" s="1"/>
  <c r="AF55" i="3" s="1"/>
  <c r="AF56" i="3" s="1"/>
  <c r="AF57" i="3" s="1"/>
  <c r="AF58" i="3" s="1"/>
  <c r="AF59" i="3" s="1"/>
  <c r="AF60" i="3" s="1"/>
  <c r="AF61" i="3" s="1"/>
  <c r="AF62" i="3" s="1"/>
  <c r="AF63" i="3" s="1"/>
  <c r="AF64" i="3" s="1"/>
  <c r="AF65" i="3" s="1"/>
  <c r="AF66" i="3" s="1"/>
  <c r="AF67" i="3" s="1"/>
  <c r="AF68" i="3" s="1"/>
  <c r="AF69" i="3" s="1"/>
  <c r="AF70" i="3" s="1"/>
  <c r="AF71" i="3" s="1"/>
  <c r="AF72" i="3" s="1"/>
  <c r="AF73" i="3" s="1"/>
  <c r="AF74" i="3" s="1"/>
  <c r="AF75" i="3" s="1"/>
  <c r="AF76" i="3" s="1"/>
  <c r="AF77" i="3" s="1"/>
  <c r="AF78" i="3" s="1"/>
  <c r="AF79" i="3" s="1"/>
  <c r="AF80" i="3" s="1"/>
  <c r="AF81" i="3" s="1"/>
  <c r="AF82" i="3" s="1"/>
  <c r="AF83" i="3" s="1"/>
  <c r="AF84" i="3" s="1"/>
  <c r="AD10" i="3"/>
  <c r="AK9" i="3"/>
  <c r="AL9" i="3" s="1"/>
  <c r="AJ9" i="3"/>
  <c r="AB84" i="3"/>
  <c r="Z84" i="3"/>
  <c r="AB83" i="3"/>
  <c r="Z83" i="3"/>
  <c r="AB82" i="3"/>
  <c r="Z82" i="3"/>
  <c r="AB81" i="3"/>
  <c r="Z81" i="3"/>
  <c r="AB80" i="3"/>
  <c r="Z80" i="3"/>
  <c r="AB79" i="3"/>
  <c r="Z79" i="3"/>
  <c r="AB78" i="3"/>
  <c r="Z78" i="3"/>
  <c r="AB77" i="3"/>
  <c r="Z77" i="3"/>
  <c r="AB76" i="3"/>
  <c r="Z76" i="3"/>
  <c r="AB75" i="3"/>
  <c r="Z75" i="3"/>
  <c r="AB74" i="3"/>
  <c r="Z74" i="3"/>
  <c r="AB73" i="3"/>
  <c r="Z73" i="3"/>
  <c r="AB72" i="3"/>
  <c r="Z72" i="3"/>
  <c r="AB71" i="3"/>
  <c r="Z71" i="3"/>
  <c r="AB70" i="3"/>
  <c r="Z70" i="3"/>
  <c r="AB69" i="3"/>
  <c r="Z69" i="3"/>
  <c r="AB68" i="3"/>
  <c r="Z68" i="3"/>
  <c r="AB67" i="3"/>
  <c r="Z67" i="3"/>
  <c r="AB66" i="3"/>
  <c r="Z66" i="3"/>
  <c r="AB65" i="3"/>
  <c r="Z65" i="3"/>
  <c r="AB64" i="3"/>
  <c r="Z64" i="3"/>
  <c r="AB63" i="3"/>
  <c r="Z63" i="3"/>
  <c r="AB62" i="3"/>
  <c r="Z62" i="3"/>
  <c r="AB61" i="3"/>
  <c r="Z61" i="3"/>
  <c r="AB60" i="3"/>
  <c r="Z60" i="3"/>
  <c r="AB59" i="3"/>
  <c r="Z59" i="3"/>
  <c r="AB58" i="3"/>
  <c r="Z58" i="3"/>
  <c r="AB57" i="3"/>
  <c r="Z57" i="3"/>
  <c r="AB56" i="3"/>
  <c r="Z56" i="3"/>
  <c r="AB55" i="3"/>
  <c r="AD55" i="3" s="1"/>
  <c r="Z55" i="3"/>
  <c r="AB54" i="3"/>
  <c r="Z54" i="3"/>
  <c r="AB53" i="3"/>
  <c r="Z53" i="3"/>
  <c r="AB52" i="3"/>
  <c r="Z52" i="3"/>
  <c r="AB51" i="3"/>
  <c r="Z51" i="3"/>
  <c r="AB50" i="3"/>
  <c r="Z50" i="3"/>
  <c r="AB49" i="3"/>
  <c r="Z49" i="3"/>
  <c r="AB48" i="3"/>
  <c r="Z48" i="3"/>
  <c r="AB47" i="3"/>
  <c r="Z47" i="3"/>
  <c r="AB46" i="3"/>
  <c r="Z46" i="3"/>
  <c r="AB45" i="3"/>
  <c r="Z45" i="3"/>
  <c r="AB44" i="3"/>
  <c r="AD44" i="3" s="1"/>
  <c r="Z44" i="3"/>
  <c r="AB43" i="3"/>
  <c r="Z43" i="3"/>
  <c r="AB42" i="3"/>
  <c r="Z42" i="3"/>
  <c r="AB41" i="3"/>
  <c r="Z41" i="3"/>
  <c r="AB40" i="3"/>
  <c r="Z40" i="3"/>
  <c r="AB39" i="3"/>
  <c r="Z39" i="3"/>
  <c r="AB38" i="3"/>
  <c r="Z38" i="3"/>
  <c r="AB37" i="3"/>
  <c r="Z37" i="3"/>
  <c r="AB36" i="3"/>
  <c r="Z36" i="3"/>
  <c r="AB35" i="3"/>
  <c r="Z35" i="3"/>
  <c r="AB34" i="3"/>
  <c r="Z34" i="3"/>
  <c r="AB33" i="3"/>
  <c r="Z33" i="3"/>
  <c r="AB32" i="3"/>
  <c r="Z32" i="3"/>
  <c r="AB31" i="3"/>
  <c r="Z31" i="3"/>
  <c r="AB30" i="3"/>
  <c r="Z30" i="3"/>
  <c r="AB29" i="3"/>
  <c r="Z29" i="3"/>
  <c r="AB28" i="3"/>
  <c r="Z28" i="3"/>
  <c r="AB27" i="3"/>
  <c r="Z27" i="3"/>
  <c r="AB26" i="3"/>
  <c r="Z26" i="3"/>
  <c r="AB25" i="3"/>
  <c r="Z25" i="3"/>
  <c r="AB24" i="3"/>
  <c r="Z24" i="3"/>
  <c r="AB23" i="3"/>
  <c r="Z23" i="3"/>
  <c r="AB22" i="3"/>
  <c r="Z22" i="3"/>
  <c r="AB21" i="3"/>
  <c r="Z21" i="3"/>
  <c r="AB20" i="3"/>
  <c r="Z20" i="3"/>
  <c r="AB19" i="3"/>
  <c r="Z19" i="3"/>
  <c r="AB18" i="3"/>
  <c r="Z18" i="3"/>
  <c r="AB17" i="3"/>
  <c r="Z17" i="3"/>
  <c r="AB16" i="3"/>
  <c r="Z16" i="3"/>
  <c r="AB15" i="3"/>
  <c r="Z15" i="3"/>
  <c r="AB14" i="3"/>
  <c r="Z14" i="3"/>
  <c r="AB13" i="3"/>
  <c r="Z13" i="3"/>
  <c r="AB12" i="3"/>
  <c r="Z12" i="3"/>
  <c r="V12" i="3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AB11" i="3"/>
  <c r="Z11" i="3"/>
  <c r="AB10" i="3"/>
  <c r="Z10" i="3"/>
  <c r="X10" i="3"/>
  <c r="V10" i="3"/>
  <c r="V11" i="3" s="1"/>
  <c r="AA9" i="3"/>
  <c r="AB9" i="3" s="1"/>
  <c r="Z9" i="3"/>
  <c r="DB83" i="3" l="1"/>
  <c r="DB82" i="3" s="1"/>
  <c r="CV84" i="3"/>
  <c r="DB81" i="3"/>
  <c r="DB80" i="3" s="1"/>
  <c r="DB79" i="3" s="1"/>
  <c r="DB78" i="3" s="1"/>
  <c r="DB77" i="3" s="1"/>
  <c r="DB76" i="3" s="1"/>
  <c r="DB75" i="3" s="1"/>
  <c r="DB74" i="3" s="1"/>
  <c r="DB73" i="3" s="1"/>
  <c r="DB72" i="3" s="1"/>
  <c r="DB71" i="3" s="1"/>
  <c r="DB70" i="3" s="1"/>
  <c r="DB69" i="3" s="1"/>
  <c r="DB68" i="3" s="1"/>
  <c r="DB67" i="3" s="1"/>
  <c r="DB66" i="3" s="1"/>
  <c r="DB65" i="3" s="1"/>
  <c r="DB64" i="3" s="1"/>
  <c r="DB63" i="3" s="1"/>
  <c r="DB62" i="3" s="1"/>
  <c r="DB61" i="3" s="1"/>
  <c r="DB60" i="3" s="1"/>
  <c r="DB59" i="3" s="1"/>
  <c r="DB58" i="3" s="1"/>
  <c r="DB57" i="3" s="1"/>
  <c r="DB56" i="3" s="1"/>
  <c r="DB55" i="3" s="1"/>
  <c r="DB54" i="3" s="1"/>
  <c r="DB53" i="3" s="1"/>
  <c r="DB52" i="3" s="1"/>
  <c r="DB51" i="3" s="1"/>
  <c r="DB50" i="3" s="1"/>
  <c r="DB49" i="3" s="1"/>
  <c r="DB48" i="3" s="1"/>
  <c r="DB47" i="3" s="1"/>
  <c r="DB46" i="3" s="1"/>
  <c r="DB45" i="3" s="1"/>
  <c r="DB44" i="3" s="1"/>
  <c r="DB43" i="3" s="1"/>
  <c r="DB42" i="3" s="1"/>
  <c r="DB41" i="3" s="1"/>
  <c r="DB40" i="3" s="1"/>
  <c r="DB39" i="3" s="1"/>
  <c r="DB38" i="3" s="1"/>
  <c r="DB37" i="3" s="1"/>
  <c r="DB36" i="3" s="1"/>
  <c r="DB35" i="3" s="1"/>
  <c r="DB34" i="3" s="1"/>
  <c r="DB33" i="3" s="1"/>
  <c r="DB32" i="3" s="1"/>
  <c r="DB31" i="3" s="1"/>
  <c r="DB30" i="3" s="1"/>
  <c r="DB29" i="3" s="1"/>
  <c r="DB28" i="3" s="1"/>
  <c r="DB27" i="3" s="1"/>
  <c r="DB26" i="3" s="1"/>
  <c r="DB25" i="3" s="1"/>
  <c r="DB24" i="3" s="1"/>
  <c r="DB23" i="3" s="1"/>
  <c r="DB22" i="3" s="1"/>
  <c r="DB21" i="3" s="1"/>
  <c r="DB20" i="3" s="1"/>
  <c r="DB19" i="3" s="1"/>
  <c r="DB18" i="3" s="1"/>
  <c r="DB17" i="3" s="1"/>
  <c r="DB16" i="3" s="1"/>
  <c r="DB15" i="3" s="1"/>
  <c r="DB14" i="3" s="1"/>
  <c r="DB13" i="3" s="1"/>
  <c r="DB12" i="3" s="1"/>
  <c r="DB11" i="3" s="1"/>
  <c r="DB10" i="3" s="1"/>
  <c r="DB9" i="3" s="1"/>
  <c r="CV82" i="3"/>
  <c r="DE82" i="3"/>
  <c r="DD82" i="3"/>
  <c r="DD81" i="3"/>
  <c r="DD83" i="3"/>
  <c r="CY79" i="3"/>
  <c r="DE80" i="3"/>
  <c r="CZ80" i="3"/>
  <c r="CK65" i="3"/>
  <c r="AD14" i="3"/>
  <c r="AD24" i="3"/>
  <c r="CF83" i="3"/>
  <c r="CF82" i="3" s="1"/>
  <c r="CF81" i="3" s="1"/>
  <c r="AD42" i="3"/>
  <c r="AD51" i="3"/>
  <c r="CK68" i="3"/>
  <c r="CK80" i="3"/>
  <c r="AD25" i="3"/>
  <c r="AD43" i="3"/>
  <c r="AN28" i="3"/>
  <c r="CK43" i="3"/>
  <c r="CK69" i="3"/>
  <c r="AD34" i="3"/>
  <c r="CK61" i="3"/>
  <c r="CK83" i="3"/>
  <c r="AD37" i="3"/>
  <c r="AD64" i="3"/>
  <c r="CI81" i="3"/>
  <c r="CK49" i="3"/>
  <c r="CK9" i="3"/>
  <c r="CK23" i="3"/>
  <c r="AN32" i="3"/>
  <c r="AD74" i="3"/>
  <c r="AN79" i="3"/>
  <c r="CK50" i="3"/>
  <c r="AN78" i="3"/>
  <c r="AN24" i="3"/>
  <c r="CK14" i="3"/>
  <c r="CQ83" i="3"/>
  <c r="CQ82" i="3" s="1"/>
  <c r="CT81" i="3"/>
  <c r="AD72" i="3"/>
  <c r="AD27" i="3"/>
  <c r="CK24" i="3"/>
  <c r="AD84" i="3"/>
  <c r="AN53" i="3"/>
  <c r="AN62" i="3"/>
  <c r="AN80" i="3"/>
  <c r="CD82" i="3"/>
  <c r="CD81" i="3" s="1"/>
  <c r="CD80" i="3" s="1"/>
  <c r="CD79" i="3" s="1"/>
  <c r="AN41" i="3"/>
  <c r="AN14" i="3"/>
  <c r="AD12" i="3"/>
  <c r="AN66" i="3"/>
  <c r="AN25" i="3"/>
  <c r="AN63" i="3"/>
  <c r="CK27" i="3"/>
  <c r="CK39" i="3"/>
  <c r="CK64" i="3"/>
  <c r="CK77" i="3"/>
  <c r="CK84" i="3"/>
  <c r="AD54" i="3"/>
  <c r="AD22" i="3"/>
  <c r="AD49" i="3"/>
  <c r="AD67" i="3"/>
  <c r="AN54" i="3"/>
  <c r="AN81" i="3"/>
  <c r="CK28" i="3"/>
  <c r="CK40" i="3"/>
  <c r="CK35" i="3"/>
  <c r="AN50" i="3"/>
  <c r="AD82" i="3"/>
  <c r="CK48" i="3"/>
  <c r="CK74" i="3"/>
  <c r="AD39" i="3"/>
  <c r="AD70" i="3"/>
  <c r="AD40" i="3"/>
  <c r="AD76" i="3"/>
  <c r="AN45" i="3"/>
  <c r="AN72" i="3"/>
  <c r="CT80" i="3"/>
  <c r="CQ81" i="3"/>
  <c r="CQ80" i="3" s="1"/>
  <c r="CQ79" i="3" s="1"/>
  <c r="CQ78" i="3" s="1"/>
  <c r="CQ77" i="3" s="1"/>
  <c r="CQ76" i="3" s="1"/>
  <c r="CQ75" i="3" s="1"/>
  <c r="CQ74" i="3" s="1"/>
  <c r="CQ73" i="3" s="1"/>
  <c r="CQ72" i="3" s="1"/>
  <c r="CQ71" i="3" s="1"/>
  <c r="CQ70" i="3" s="1"/>
  <c r="CQ69" i="3" s="1"/>
  <c r="CQ68" i="3" s="1"/>
  <c r="CQ67" i="3" s="1"/>
  <c r="CQ66" i="3" s="1"/>
  <c r="CQ65" i="3" s="1"/>
  <c r="CQ64" i="3" s="1"/>
  <c r="CQ63" i="3" s="1"/>
  <c r="CQ62" i="3" s="1"/>
  <c r="CQ61" i="3" s="1"/>
  <c r="CQ60" i="3" s="1"/>
  <c r="CQ59" i="3" s="1"/>
  <c r="CQ58" i="3" s="1"/>
  <c r="CQ57" i="3" s="1"/>
  <c r="CQ56" i="3" s="1"/>
  <c r="CQ55" i="3" s="1"/>
  <c r="CQ54" i="3" s="1"/>
  <c r="CQ53" i="3" s="1"/>
  <c r="CQ52" i="3" s="1"/>
  <c r="CQ51" i="3" s="1"/>
  <c r="CQ50" i="3" s="1"/>
  <c r="CQ49" i="3" s="1"/>
  <c r="CQ48" i="3" s="1"/>
  <c r="CQ47" i="3" s="1"/>
  <c r="CQ46" i="3" s="1"/>
  <c r="CQ45" i="3" s="1"/>
  <c r="CQ44" i="3" s="1"/>
  <c r="CQ43" i="3" s="1"/>
  <c r="CQ42" i="3" s="1"/>
  <c r="CQ41" i="3" s="1"/>
  <c r="CQ40" i="3" s="1"/>
  <c r="CQ39" i="3" s="1"/>
  <c r="CQ38" i="3" s="1"/>
  <c r="CQ37" i="3" s="1"/>
  <c r="CQ36" i="3" s="1"/>
  <c r="CQ35" i="3" s="1"/>
  <c r="CQ34" i="3" s="1"/>
  <c r="CQ33" i="3" s="1"/>
  <c r="CQ32" i="3" s="1"/>
  <c r="CQ31" i="3" s="1"/>
  <c r="CQ30" i="3" s="1"/>
  <c r="CQ29" i="3" s="1"/>
  <c r="CQ28" i="3" s="1"/>
  <c r="CQ27" i="3" s="1"/>
  <c r="CQ26" i="3" s="1"/>
  <c r="CQ25" i="3" s="1"/>
  <c r="CQ24" i="3" s="1"/>
  <c r="CQ23" i="3" s="1"/>
  <c r="CQ22" i="3" s="1"/>
  <c r="CQ21" i="3" s="1"/>
  <c r="CQ20" i="3" s="1"/>
  <c r="CQ19" i="3" s="1"/>
  <c r="CQ18" i="3" s="1"/>
  <c r="CQ17" i="3" s="1"/>
  <c r="CQ16" i="3" s="1"/>
  <c r="CQ15" i="3" s="1"/>
  <c r="CQ14" i="3" s="1"/>
  <c r="CQ13" i="3" s="1"/>
  <c r="CQ12" i="3" s="1"/>
  <c r="CQ11" i="3" s="1"/>
  <c r="CQ10" i="3" s="1"/>
  <c r="CQ9" i="3" s="1"/>
  <c r="CO81" i="3"/>
  <c r="CS82" i="3"/>
  <c r="CT78" i="3"/>
  <c r="CN77" i="3"/>
  <c r="CT79" i="3"/>
  <c r="CI80" i="3"/>
  <c r="CI78" i="3"/>
  <c r="CC77" i="3"/>
  <c r="CI79" i="3"/>
  <c r="AD41" i="3"/>
  <c r="AD65" i="3"/>
  <c r="AD73" i="3"/>
  <c r="AD81" i="3"/>
  <c r="AN21" i="3"/>
  <c r="AD58" i="3"/>
  <c r="AD66" i="3"/>
  <c r="AN71" i="3"/>
  <c r="AN49" i="3"/>
  <c r="AD21" i="3"/>
  <c r="AD53" i="3"/>
  <c r="AN74" i="3"/>
  <c r="AD61" i="3"/>
  <c r="AD77" i="3"/>
  <c r="AN9" i="3"/>
  <c r="AN42" i="3"/>
  <c r="AD52" i="3"/>
  <c r="AD36" i="3"/>
  <c r="AN17" i="3"/>
  <c r="AN34" i="3"/>
  <c r="AD38" i="3"/>
  <c r="AD46" i="3"/>
  <c r="AN51" i="3"/>
  <c r="AN59" i="3"/>
  <c r="AN84" i="3"/>
  <c r="AD30" i="3"/>
  <c r="AD15" i="3"/>
  <c r="AD23" i="3"/>
  <c r="AD31" i="3"/>
  <c r="AD78" i="3"/>
  <c r="AN35" i="3"/>
  <c r="AN76" i="3"/>
  <c r="AN82" i="3"/>
  <c r="AD47" i="3"/>
  <c r="AD56" i="3"/>
  <c r="AN18" i="3"/>
  <c r="AN44" i="3"/>
  <c r="AN52" i="3"/>
  <c r="AN60" i="3"/>
  <c r="AN68" i="3"/>
  <c r="AD45" i="3"/>
  <c r="AD71" i="3"/>
  <c r="AN36" i="3"/>
  <c r="AD11" i="3"/>
  <c r="AD13" i="3"/>
  <c r="AD69" i="3"/>
  <c r="AD16" i="3"/>
  <c r="AN27" i="3"/>
  <c r="AD9" i="3"/>
  <c r="AD48" i="3"/>
  <c r="AN11" i="3"/>
  <c r="AN19" i="3"/>
  <c r="AN61" i="3"/>
  <c r="AN69" i="3"/>
  <c r="AR11" i="3"/>
  <c r="AU10" i="3"/>
  <c r="AH11" i="3"/>
  <c r="AK10" i="3"/>
  <c r="X11" i="3"/>
  <c r="AA10" i="3"/>
  <c r="DD80" i="3" l="1"/>
  <c r="CZ79" i="3"/>
  <c r="CY78" i="3"/>
  <c r="DE79" i="3"/>
  <c r="CS83" i="3"/>
  <c r="CH83" i="3"/>
  <c r="CH82" i="3"/>
  <c r="CN76" i="3"/>
  <c r="CT77" i="3"/>
  <c r="CS81" i="3"/>
  <c r="CO80" i="3"/>
  <c r="CF80" i="3"/>
  <c r="CH81" i="3"/>
  <c r="CD78" i="3"/>
  <c r="CC76" i="3"/>
  <c r="CI77" i="3"/>
  <c r="AR12" i="3"/>
  <c r="AU11" i="3"/>
  <c r="AH12" i="3"/>
  <c r="AK11" i="3"/>
  <c r="AA11" i="3"/>
  <c r="X12" i="3"/>
  <c r="BV84" i="3"/>
  <c r="BU84" i="3"/>
  <c r="BW84" i="3" s="1"/>
  <c r="BK84" i="3"/>
  <c r="BM84" i="3" s="1"/>
  <c r="BJ84" i="3"/>
  <c r="BL84" i="3" s="1"/>
  <c r="R84" i="3"/>
  <c r="T84" i="3" s="1"/>
  <c r="P84" i="3"/>
  <c r="H84" i="3"/>
  <c r="F84" i="3"/>
  <c r="BV83" i="3"/>
  <c r="BZ83" i="3" s="1"/>
  <c r="BS83" i="3"/>
  <c r="BQ83" i="3"/>
  <c r="BQ82" i="3" s="1"/>
  <c r="BQ81" i="3" s="1"/>
  <c r="BQ80" i="3" s="1"/>
  <c r="BQ79" i="3" s="1"/>
  <c r="BQ78" i="3" s="1"/>
  <c r="BQ77" i="3" s="1"/>
  <c r="BQ76" i="3" s="1"/>
  <c r="BQ75" i="3" s="1"/>
  <c r="BQ74" i="3" s="1"/>
  <c r="BQ73" i="3" s="1"/>
  <c r="BQ72" i="3" s="1"/>
  <c r="BQ71" i="3" s="1"/>
  <c r="BQ70" i="3" s="1"/>
  <c r="BQ69" i="3" s="1"/>
  <c r="BQ68" i="3" s="1"/>
  <c r="BQ67" i="3" s="1"/>
  <c r="BQ66" i="3" s="1"/>
  <c r="BQ65" i="3" s="1"/>
  <c r="BQ64" i="3" s="1"/>
  <c r="BQ63" i="3" s="1"/>
  <c r="BQ62" i="3" s="1"/>
  <c r="BQ61" i="3" s="1"/>
  <c r="BQ60" i="3" s="1"/>
  <c r="BQ59" i="3" s="1"/>
  <c r="BQ58" i="3" s="1"/>
  <c r="BQ57" i="3" s="1"/>
  <c r="BQ56" i="3" s="1"/>
  <c r="BQ55" i="3" s="1"/>
  <c r="BQ54" i="3" s="1"/>
  <c r="BQ53" i="3" s="1"/>
  <c r="BQ52" i="3" s="1"/>
  <c r="BQ51" i="3" s="1"/>
  <c r="BQ50" i="3" s="1"/>
  <c r="BQ49" i="3" s="1"/>
  <c r="BQ48" i="3" s="1"/>
  <c r="BQ47" i="3" s="1"/>
  <c r="BQ46" i="3" s="1"/>
  <c r="BQ45" i="3" s="1"/>
  <c r="BQ44" i="3" s="1"/>
  <c r="BQ43" i="3" s="1"/>
  <c r="BQ42" i="3" s="1"/>
  <c r="BQ41" i="3" s="1"/>
  <c r="BQ40" i="3" s="1"/>
  <c r="BQ39" i="3" s="1"/>
  <c r="BQ38" i="3" s="1"/>
  <c r="BQ37" i="3" s="1"/>
  <c r="BQ36" i="3" s="1"/>
  <c r="BQ35" i="3" s="1"/>
  <c r="BQ34" i="3" s="1"/>
  <c r="BQ33" i="3" s="1"/>
  <c r="BQ32" i="3" s="1"/>
  <c r="BQ31" i="3" s="1"/>
  <c r="BQ30" i="3" s="1"/>
  <c r="BQ29" i="3" s="1"/>
  <c r="BQ28" i="3" s="1"/>
  <c r="BQ27" i="3" s="1"/>
  <c r="BQ26" i="3" s="1"/>
  <c r="BQ25" i="3" s="1"/>
  <c r="BQ24" i="3" s="1"/>
  <c r="BQ23" i="3" s="1"/>
  <c r="BQ22" i="3" s="1"/>
  <c r="BQ21" i="3" s="1"/>
  <c r="BQ20" i="3" s="1"/>
  <c r="BQ19" i="3" s="1"/>
  <c r="BQ18" i="3" s="1"/>
  <c r="BQ17" i="3" s="1"/>
  <c r="BQ16" i="3" s="1"/>
  <c r="BQ15" i="3" s="1"/>
  <c r="BQ14" i="3" s="1"/>
  <c r="BQ13" i="3" s="1"/>
  <c r="BQ12" i="3" s="1"/>
  <c r="BQ11" i="3" s="1"/>
  <c r="BQ10" i="3" s="1"/>
  <c r="BQ9" i="3" s="1"/>
  <c r="BK83" i="3"/>
  <c r="BO83" i="3" s="1"/>
  <c r="BH83" i="3"/>
  <c r="BF83" i="3"/>
  <c r="BF82" i="3" s="1"/>
  <c r="BF81" i="3" s="1"/>
  <c r="BF80" i="3" s="1"/>
  <c r="BF79" i="3" s="1"/>
  <c r="BF78" i="3" s="1"/>
  <c r="BF77" i="3" s="1"/>
  <c r="BF76" i="3" s="1"/>
  <c r="BF75" i="3" s="1"/>
  <c r="BF74" i="3" s="1"/>
  <c r="BF73" i="3" s="1"/>
  <c r="BF72" i="3" s="1"/>
  <c r="BF71" i="3" s="1"/>
  <c r="BF70" i="3" s="1"/>
  <c r="BF69" i="3" s="1"/>
  <c r="BF68" i="3" s="1"/>
  <c r="BF67" i="3" s="1"/>
  <c r="BF66" i="3" s="1"/>
  <c r="BF65" i="3" s="1"/>
  <c r="BF64" i="3" s="1"/>
  <c r="BF63" i="3" s="1"/>
  <c r="BF62" i="3" s="1"/>
  <c r="BF61" i="3" s="1"/>
  <c r="BF60" i="3" s="1"/>
  <c r="BF59" i="3" s="1"/>
  <c r="BF58" i="3" s="1"/>
  <c r="BF57" i="3" s="1"/>
  <c r="BF56" i="3" s="1"/>
  <c r="BF55" i="3" s="1"/>
  <c r="BF54" i="3" s="1"/>
  <c r="BF53" i="3" s="1"/>
  <c r="BF52" i="3" s="1"/>
  <c r="BF51" i="3" s="1"/>
  <c r="BF50" i="3" s="1"/>
  <c r="BF49" i="3" s="1"/>
  <c r="BF48" i="3" s="1"/>
  <c r="BF47" i="3" s="1"/>
  <c r="BF46" i="3" s="1"/>
  <c r="BF45" i="3" s="1"/>
  <c r="BF44" i="3" s="1"/>
  <c r="BF43" i="3" s="1"/>
  <c r="BF42" i="3" s="1"/>
  <c r="BF41" i="3" s="1"/>
  <c r="BF40" i="3" s="1"/>
  <c r="BF39" i="3" s="1"/>
  <c r="BF38" i="3" s="1"/>
  <c r="BF37" i="3" s="1"/>
  <c r="BF36" i="3" s="1"/>
  <c r="BF35" i="3" s="1"/>
  <c r="BF34" i="3" s="1"/>
  <c r="BF33" i="3" s="1"/>
  <c r="BF32" i="3" s="1"/>
  <c r="BF31" i="3" s="1"/>
  <c r="BF30" i="3" s="1"/>
  <c r="BF29" i="3" s="1"/>
  <c r="BF28" i="3" s="1"/>
  <c r="BF27" i="3" s="1"/>
  <c r="BF26" i="3" s="1"/>
  <c r="BF25" i="3" s="1"/>
  <c r="BF24" i="3" s="1"/>
  <c r="BF23" i="3" s="1"/>
  <c r="BF22" i="3" s="1"/>
  <c r="BF21" i="3" s="1"/>
  <c r="BF20" i="3" s="1"/>
  <c r="BF19" i="3" s="1"/>
  <c r="BF18" i="3" s="1"/>
  <c r="BF17" i="3" s="1"/>
  <c r="BF16" i="3" s="1"/>
  <c r="BF15" i="3" s="1"/>
  <c r="BF14" i="3" s="1"/>
  <c r="BF13" i="3" s="1"/>
  <c r="BF12" i="3" s="1"/>
  <c r="BF11" i="3" s="1"/>
  <c r="BF10" i="3" s="1"/>
  <c r="BF9" i="3" s="1"/>
  <c r="R83" i="3"/>
  <c r="T83" i="3" s="1"/>
  <c r="P83" i="3"/>
  <c r="H83" i="3"/>
  <c r="F83" i="3"/>
  <c r="BV82" i="3"/>
  <c r="BS82" i="3"/>
  <c r="BK82" i="3"/>
  <c r="R82" i="3"/>
  <c r="T82" i="3" s="1"/>
  <c r="P82" i="3"/>
  <c r="H82" i="3"/>
  <c r="BB82" i="3" s="1"/>
  <c r="F82" i="3"/>
  <c r="AZ82" i="3" s="1"/>
  <c r="BV81" i="3"/>
  <c r="BZ81" i="3" s="1"/>
  <c r="BR81" i="3"/>
  <c r="BR80" i="3" s="1"/>
  <c r="BK81" i="3"/>
  <c r="BG81" i="3"/>
  <c r="R81" i="3"/>
  <c r="T81" i="3" s="1"/>
  <c r="P81" i="3"/>
  <c r="H81" i="3"/>
  <c r="F81" i="3"/>
  <c r="BV80" i="3"/>
  <c r="BZ80" i="3" s="1"/>
  <c r="BK80" i="3"/>
  <c r="R80" i="3"/>
  <c r="T80" i="3" s="1"/>
  <c r="P80" i="3"/>
  <c r="H80" i="3"/>
  <c r="F80" i="3"/>
  <c r="BV79" i="3"/>
  <c r="BZ79" i="3" s="1"/>
  <c r="BK79" i="3"/>
  <c r="R79" i="3"/>
  <c r="T79" i="3" s="1"/>
  <c r="P79" i="3"/>
  <c r="H79" i="3"/>
  <c r="F79" i="3"/>
  <c r="AZ79" i="3" s="1"/>
  <c r="BV78" i="3"/>
  <c r="BZ78" i="3" s="1"/>
  <c r="BK78" i="3"/>
  <c r="R78" i="3"/>
  <c r="T78" i="3" s="1"/>
  <c r="P78" i="3"/>
  <c r="H78" i="3"/>
  <c r="F78" i="3"/>
  <c r="AZ78" i="3" s="1"/>
  <c r="BV77" i="3"/>
  <c r="BZ77" i="3" s="1"/>
  <c r="BK77" i="3"/>
  <c r="R77" i="3"/>
  <c r="T77" i="3" s="1"/>
  <c r="P77" i="3"/>
  <c r="H77" i="3"/>
  <c r="F77" i="3"/>
  <c r="AZ77" i="3" s="1"/>
  <c r="BV76" i="3"/>
  <c r="BZ76" i="3" s="1"/>
  <c r="BK76" i="3"/>
  <c r="BO76" i="3" s="1"/>
  <c r="R76" i="3"/>
  <c r="T76" i="3" s="1"/>
  <c r="P76" i="3"/>
  <c r="H76" i="3"/>
  <c r="BB76" i="3" s="1"/>
  <c r="F76" i="3"/>
  <c r="AZ76" i="3" s="1"/>
  <c r="BV75" i="3"/>
  <c r="BZ75" i="3" s="1"/>
  <c r="BK75" i="3"/>
  <c r="R75" i="3"/>
  <c r="T75" i="3" s="1"/>
  <c r="P75" i="3"/>
  <c r="H75" i="3"/>
  <c r="F75" i="3"/>
  <c r="AZ75" i="3" s="1"/>
  <c r="BV74" i="3"/>
  <c r="BZ74" i="3" s="1"/>
  <c r="BK74" i="3"/>
  <c r="BO74" i="3" s="1"/>
  <c r="R74" i="3"/>
  <c r="T74" i="3" s="1"/>
  <c r="P74" i="3"/>
  <c r="H74" i="3"/>
  <c r="F74" i="3"/>
  <c r="BV73" i="3"/>
  <c r="BZ73" i="3" s="1"/>
  <c r="BK73" i="3"/>
  <c r="R73" i="3"/>
  <c r="T73" i="3" s="1"/>
  <c r="P73" i="3"/>
  <c r="H73" i="3"/>
  <c r="F73" i="3"/>
  <c r="BV72" i="3"/>
  <c r="BZ72" i="3" s="1"/>
  <c r="BK72" i="3"/>
  <c r="BO72" i="3" s="1"/>
  <c r="R72" i="3"/>
  <c r="T72" i="3" s="1"/>
  <c r="P72" i="3"/>
  <c r="H72" i="3"/>
  <c r="BB72" i="3" s="1"/>
  <c r="F72" i="3"/>
  <c r="BV71" i="3"/>
  <c r="BZ71" i="3" s="1"/>
  <c r="BK71" i="3"/>
  <c r="R71" i="3"/>
  <c r="T71" i="3" s="1"/>
  <c r="P71" i="3"/>
  <c r="H71" i="3"/>
  <c r="BB71" i="3" s="1"/>
  <c r="F71" i="3"/>
  <c r="AZ71" i="3" s="1"/>
  <c r="BV70" i="3"/>
  <c r="BZ70" i="3" s="1"/>
  <c r="BK70" i="3"/>
  <c r="R70" i="3"/>
  <c r="T70" i="3" s="1"/>
  <c r="P70" i="3"/>
  <c r="H70" i="3"/>
  <c r="F70" i="3"/>
  <c r="AZ70" i="3" s="1"/>
  <c r="BV69" i="3"/>
  <c r="BZ69" i="3" s="1"/>
  <c r="BK69" i="3"/>
  <c r="BO69" i="3" s="1"/>
  <c r="R69" i="3"/>
  <c r="T69" i="3" s="1"/>
  <c r="P69" i="3"/>
  <c r="H69" i="3"/>
  <c r="F69" i="3"/>
  <c r="BV68" i="3"/>
  <c r="BZ68" i="3" s="1"/>
  <c r="BK68" i="3"/>
  <c r="R68" i="3"/>
  <c r="T68" i="3" s="1"/>
  <c r="P68" i="3"/>
  <c r="H68" i="3"/>
  <c r="BB68" i="3" s="1"/>
  <c r="F68" i="3"/>
  <c r="AZ68" i="3" s="1"/>
  <c r="BV67" i="3"/>
  <c r="BZ67" i="3" s="1"/>
  <c r="BK67" i="3"/>
  <c r="R67" i="3"/>
  <c r="T67" i="3" s="1"/>
  <c r="P67" i="3"/>
  <c r="H67" i="3"/>
  <c r="F67" i="3"/>
  <c r="AZ67" i="3" s="1"/>
  <c r="BV66" i="3"/>
  <c r="BZ66" i="3" s="1"/>
  <c r="BK66" i="3"/>
  <c r="R66" i="3"/>
  <c r="T66" i="3" s="1"/>
  <c r="P66" i="3"/>
  <c r="H66" i="3"/>
  <c r="F66" i="3"/>
  <c r="AZ66" i="3" s="1"/>
  <c r="BV65" i="3"/>
  <c r="BZ65" i="3" s="1"/>
  <c r="BK65" i="3"/>
  <c r="BO65" i="3" s="1"/>
  <c r="R65" i="3"/>
  <c r="T65" i="3" s="1"/>
  <c r="P65" i="3"/>
  <c r="H65" i="3"/>
  <c r="F65" i="3"/>
  <c r="BV64" i="3"/>
  <c r="BZ64" i="3" s="1"/>
  <c r="BK64" i="3"/>
  <c r="BO64" i="3" s="1"/>
  <c r="R64" i="3"/>
  <c r="T64" i="3" s="1"/>
  <c r="P64" i="3"/>
  <c r="H64" i="3"/>
  <c r="BB64" i="3" s="1"/>
  <c r="F64" i="3"/>
  <c r="BV63" i="3"/>
  <c r="BZ63" i="3" s="1"/>
  <c r="BK63" i="3"/>
  <c r="R63" i="3"/>
  <c r="T63" i="3" s="1"/>
  <c r="P63" i="3"/>
  <c r="H63" i="3"/>
  <c r="F63" i="3"/>
  <c r="BV62" i="3"/>
  <c r="BZ62" i="3" s="1"/>
  <c r="BK62" i="3"/>
  <c r="R62" i="3"/>
  <c r="T62" i="3" s="1"/>
  <c r="P62" i="3"/>
  <c r="H62" i="3"/>
  <c r="F62" i="3"/>
  <c r="BV61" i="3"/>
  <c r="BZ61" i="3" s="1"/>
  <c r="BK61" i="3"/>
  <c r="R61" i="3"/>
  <c r="T61" i="3" s="1"/>
  <c r="P61" i="3"/>
  <c r="H61" i="3"/>
  <c r="F61" i="3"/>
  <c r="AZ61" i="3" s="1"/>
  <c r="BV60" i="3"/>
  <c r="BZ60" i="3" s="1"/>
  <c r="BK60" i="3"/>
  <c r="R60" i="3"/>
  <c r="T60" i="3" s="1"/>
  <c r="P60" i="3"/>
  <c r="H60" i="3"/>
  <c r="F60" i="3"/>
  <c r="BV59" i="3"/>
  <c r="BZ59" i="3" s="1"/>
  <c r="BK59" i="3"/>
  <c r="R59" i="3"/>
  <c r="T59" i="3" s="1"/>
  <c r="P59" i="3"/>
  <c r="H59" i="3"/>
  <c r="F59" i="3"/>
  <c r="AZ59" i="3" s="1"/>
  <c r="BV58" i="3"/>
  <c r="BZ58" i="3" s="1"/>
  <c r="BK58" i="3"/>
  <c r="R58" i="3"/>
  <c r="T58" i="3" s="1"/>
  <c r="P58" i="3"/>
  <c r="H58" i="3"/>
  <c r="BB58" i="3" s="1"/>
  <c r="F58" i="3"/>
  <c r="AZ58" i="3" s="1"/>
  <c r="BV57" i="3"/>
  <c r="BZ57" i="3" s="1"/>
  <c r="BK57" i="3"/>
  <c r="R57" i="3"/>
  <c r="T57" i="3" s="1"/>
  <c r="P57" i="3"/>
  <c r="H57" i="3"/>
  <c r="F57" i="3"/>
  <c r="AZ57" i="3" s="1"/>
  <c r="BV56" i="3"/>
  <c r="BZ56" i="3" s="1"/>
  <c r="BK56" i="3"/>
  <c r="R56" i="3"/>
  <c r="T56" i="3" s="1"/>
  <c r="P56" i="3"/>
  <c r="H56" i="3"/>
  <c r="BB56" i="3" s="1"/>
  <c r="F56" i="3"/>
  <c r="BV55" i="3"/>
  <c r="BZ55" i="3" s="1"/>
  <c r="BK55" i="3"/>
  <c r="BO55" i="3" s="1"/>
  <c r="R55" i="3"/>
  <c r="T55" i="3" s="1"/>
  <c r="P55" i="3"/>
  <c r="H55" i="3"/>
  <c r="BB55" i="3" s="1"/>
  <c r="F55" i="3"/>
  <c r="AZ55" i="3" s="1"/>
  <c r="BV54" i="3"/>
  <c r="BZ54" i="3" s="1"/>
  <c r="BK54" i="3"/>
  <c r="R54" i="3"/>
  <c r="T54" i="3" s="1"/>
  <c r="P54" i="3"/>
  <c r="H54" i="3"/>
  <c r="F54" i="3"/>
  <c r="BV53" i="3"/>
  <c r="BZ53" i="3" s="1"/>
  <c r="BK53" i="3"/>
  <c r="R53" i="3"/>
  <c r="T53" i="3" s="1"/>
  <c r="P53" i="3"/>
  <c r="H53" i="3"/>
  <c r="F53" i="3"/>
  <c r="BV52" i="3"/>
  <c r="BZ52" i="3" s="1"/>
  <c r="BK52" i="3"/>
  <c r="R52" i="3"/>
  <c r="T52" i="3" s="1"/>
  <c r="P52" i="3"/>
  <c r="H52" i="3"/>
  <c r="BB52" i="3" s="1"/>
  <c r="F52" i="3"/>
  <c r="BV51" i="3"/>
  <c r="BZ51" i="3" s="1"/>
  <c r="BK51" i="3"/>
  <c r="R51" i="3"/>
  <c r="T51" i="3" s="1"/>
  <c r="P51" i="3"/>
  <c r="H51" i="3"/>
  <c r="F51" i="3"/>
  <c r="BV50" i="3"/>
  <c r="BZ50" i="3" s="1"/>
  <c r="BK50" i="3"/>
  <c r="R50" i="3"/>
  <c r="T50" i="3" s="1"/>
  <c r="P50" i="3"/>
  <c r="H50" i="3"/>
  <c r="BB50" i="3" s="1"/>
  <c r="F50" i="3"/>
  <c r="AZ50" i="3" s="1"/>
  <c r="BV49" i="3"/>
  <c r="BZ49" i="3" s="1"/>
  <c r="BK49" i="3"/>
  <c r="R49" i="3"/>
  <c r="T49" i="3" s="1"/>
  <c r="P49" i="3"/>
  <c r="H49" i="3"/>
  <c r="F49" i="3"/>
  <c r="AZ49" i="3" s="1"/>
  <c r="BV48" i="3"/>
  <c r="BZ48" i="3" s="1"/>
  <c r="BK48" i="3"/>
  <c r="R48" i="3"/>
  <c r="T48" i="3" s="1"/>
  <c r="P48" i="3"/>
  <c r="H48" i="3"/>
  <c r="BB48" i="3" s="1"/>
  <c r="F48" i="3"/>
  <c r="AZ48" i="3" s="1"/>
  <c r="BV47" i="3"/>
  <c r="BZ47" i="3" s="1"/>
  <c r="BK47" i="3"/>
  <c r="BO47" i="3" s="1"/>
  <c r="R47" i="3"/>
  <c r="T47" i="3" s="1"/>
  <c r="P47" i="3"/>
  <c r="H47" i="3"/>
  <c r="F47" i="3"/>
  <c r="AZ47" i="3" s="1"/>
  <c r="BV46" i="3"/>
  <c r="BZ46" i="3" s="1"/>
  <c r="BK46" i="3"/>
  <c r="R46" i="3"/>
  <c r="T46" i="3" s="1"/>
  <c r="P46" i="3"/>
  <c r="H46" i="3"/>
  <c r="F46" i="3"/>
  <c r="AZ46" i="3" s="1"/>
  <c r="BV45" i="3"/>
  <c r="BZ45" i="3" s="1"/>
  <c r="BK45" i="3"/>
  <c r="BO45" i="3" s="1"/>
  <c r="R45" i="3"/>
  <c r="T45" i="3" s="1"/>
  <c r="P45" i="3"/>
  <c r="H45" i="3"/>
  <c r="F45" i="3"/>
  <c r="BV44" i="3"/>
  <c r="BZ44" i="3" s="1"/>
  <c r="BK44" i="3"/>
  <c r="BO44" i="3" s="1"/>
  <c r="R44" i="3"/>
  <c r="T44" i="3" s="1"/>
  <c r="P44" i="3"/>
  <c r="H44" i="3"/>
  <c r="BB44" i="3" s="1"/>
  <c r="F44" i="3"/>
  <c r="BV43" i="3"/>
  <c r="BZ43" i="3" s="1"/>
  <c r="BK43" i="3"/>
  <c r="BO43" i="3" s="1"/>
  <c r="R43" i="3"/>
  <c r="T43" i="3" s="1"/>
  <c r="P43" i="3"/>
  <c r="H43" i="3"/>
  <c r="F43" i="3"/>
  <c r="BV42" i="3"/>
  <c r="BZ42" i="3" s="1"/>
  <c r="BK42" i="3"/>
  <c r="BO42" i="3" s="1"/>
  <c r="R42" i="3"/>
  <c r="T42" i="3" s="1"/>
  <c r="P42" i="3"/>
  <c r="H42" i="3"/>
  <c r="F42" i="3"/>
  <c r="BV41" i="3"/>
  <c r="BZ41" i="3" s="1"/>
  <c r="BK41" i="3"/>
  <c r="R41" i="3"/>
  <c r="T41" i="3" s="1"/>
  <c r="P41" i="3"/>
  <c r="H41" i="3"/>
  <c r="BB41" i="3" s="1"/>
  <c r="F41" i="3"/>
  <c r="AZ41" i="3" s="1"/>
  <c r="BV40" i="3"/>
  <c r="BZ40" i="3" s="1"/>
  <c r="BK40" i="3"/>
  <c r="R40" i="3"/>
  <c r="T40" i="3" s="1"/>
  <c r="P40" i="3"/>
  <c r="H40" i="3"/>
  <c r="F40" i="3"/>
  <c r="AZ40" i="3" s="1"/>
  <c r="BV39" i="3"/>
  <c r="BZ39" i="3" s="1"/>
  <c r="BK39" i="3"/>
  <c r="BO39" i="3" s="1"/>
  <c r="R39" i="3"/>
  <c r="T39" i="3" s="1"/>
  <c r="P39" i="3"/>
  <c r="H39" i="3"/>
  <c r="BB39" i="3" s="1"/>
  <c r="F39" i="3"/>
  <c r="AZ39" i="3" s="1"/>
  <c r="BV38" i="3"/>
  <c r="BZ38" i="3" s="1"/>
  <c r="BK38" i="3"/>
  <c r="R38" i="3"/>
  <c r="T38" i="3" s="1"/>
  <c r="P38" i="3"/>
  <c r="H38" i="3"/>
  <c r="F38" i="3"/>
  <c r="BV37" i="3"/>
  <c r="BZ37" i="3" s="1"/>
  <c r="BK37" i="3"/>
  <c r="BO37" i="3" s="1"/>
  <c r="R37" i="3"/>
  <c r="T37" i="3" s="1"/>
  <c r="P37" i="3"/>
  <c r="H37" i="3"/>
  <c r="F37" i="3"/>
  <c r="AZ37" i="3" s="1"/>
  <c r="BV36" i="3"/>
  <c r="BZ36" i="3" s="1"/>
  <c r="BK36" i="3"/>
  <c r="BO36" i="3" s="1"/>
  <c r="R36" i="3"/>
  <c r="T36" i="3" s="1"/>
  <c r="P36" i="3"/>
  <c r="H36" i="3"/>
  <c r="F36" i="3"/>
  <c r="AZ36" i="3" s="1"/>
  <c r="BV35" i="3"/>
  <c r="BZ35" i="3" s="1"/>
  <c r="BK35" i="3"/>
  <c r="R35" i="3"/>
  <c r="T35" i="3" s="1"/>
  <c r="P35" i="3"/>
  <c r="H35" i="3"/>
  <c r="F35" i="3"/>
  <c r="AZ35" i="3" s="1"/>
  <c r="BV34" i="3"/>
  <c r="BZ34" i="3" s="1"/>
  <c r="BK34" i="3"/>
  <c r="R34" i="3"/>
  <c r="T34" i="3" s="1"/>
  <c r="P34" i="3"/>
  <c r="H34" i="3"/>
  <c r="F34" i="3"/>
  <c r="BV33" i="3"/>
  <c r="BZ33" i="3" s="1"/>
  <c r="BK33" i="3"/>
  <c r="R33" i="3"/>
  <c r="T33" i="3" s="1"/>
  <c r="P33" i="3"/>
  <c r="H33" i="3"/>
  <c r="F33" i="3"/>
  <c r="BV32" i="3"/>
  <c r="BZ32" i="3" s="1"/>
  <c r="BK32" i="3"/>
  <c r="R32" i="3"/>
  <c r="T32" i="3" s="1"/>
  <c r="P32" i="3"/>
  <c r="H32" i="3"/>
  <c r="F32" i="3"/>
  <c r="BV31" i="3"/>
  <c r="BZ31" i="3" s="1"/>
  <c r="BK31" i="3"/>
  <c r="BO31" i="3" s="1"/>
  <c r="R31" i="3"/>
  <c r="T31" i="3" s="1"/>
  <c r="P31" i="3"/>
  <c r="H31" i="3"/>
  <c r="BB31" i="3" s="1"/>
  <c r="F31" i="3"/>
  <c r="AZ31" i="3" s="1"/>
  <c r="BV30" i="3"/>
  <c r="BZ30" i="3" s="1"/>
  <c r="BK30" i="3"/>
  <c r="R30" i="3"/>
  <c r="T30" i="3" s="1"/>
  <c r="P30" i="3"/>
  <c r="H30" i="3"/>
  <c r="BB30" i="3" s="1"/>
  <c r="F30" i="3"/>
  <c r="AZ30" i="3" s="1"/>
  <c r="BV29" i="3"/>
  <c r="BZ29" i="3" s="1"/>
  <c r="BK29" i="3"/>
  <c r="BO29" i="3" s="1"/>
  <c r="R29" i="3"/>
  <c r="T29" i="3" s="1"/>
  <c r="P29" i="3"/>
  <c r="H29" i="3"/>
  <c r="F29" i="3"/>
  <c r="BV28" i="3"/>
  <c r="BZ28" i="3" s="1"/>
  <c r="BK28" i="3"/>
  <c r="R28" i="3"/>
  <c r="T28" i="3" s="1"/>
  <c r="P28" i="3"/>
  <c r="H28" i="3"/>
  <c r="BB28" i="3" s="1"/>
  <c r="F28" i="3"/>
  <c r="AZ28" i="3" s="1"/>
  <c r="BV27" i="3"/>
  <c r="BZ27" i="3" s="1"/>
  <c r="BK27" i="3"/>
  <c r="R27" i="3"/>
  <c r="T27" i="3" s="1"/>
  <c r="P27" i="3"/>
  <c r="H27" i="3"/>
  <c r="BB27" i="3" s="1"/>
  <c r="F27" i="3"/>
  <c r="BV26" i="3"/>
  <c r="BZ26" i="3" s="1"/>
  <c r="BK26" i="3"/>
  <c r="R26" i="3"/>
  <c r="T26" i="3" s="1"/>
  <c r="P26" i="3"/>
  <c r="H26" i="3"/>
  <c r="BB26" i="3" s="1"/>
  <c r="F26" i="3"/>
  <c r="BV25" i="3"/>
  <c r="BZ25" i="3" s="1"/>
  <c r="BK25" i="3"/>
  <c r="R25" i="3"/>
  <c r="T25" i="3" s="1"/>
  <c r="P25" i="3"/>
  <c r="H25" i="3"/>
  <c r="F25" i="3"/>
  <c r="AZ25" i="3" s="1"/>
  <c r="BV24" i="3"/>
  <c r="BZ24" i="3" s="1"/>
  <c r="BK24" i="3"/>
  <c r="BO24" i="3" s="1"/>
  <c r="R24" i="3"/>
  <c r="T24" i="3" s="1"/>
  <c r="P24" i="3"/>
  <c r="H24" i="3"/>
  <c r="F24" i="3"/>
  <c r="BV23" i="3"/>
  <c r="BZ23" i="3" s="1"/>
  <c r="BK23" i="3"/>
  <c r="R23" i="3"/>
  <c r="T23" i="3" s="1"/>
  <c r="P23" i="3"/>
  <c r="H23" i="3"/>
  <c r="F23" i="3"/>
  <c r="AZ23" i="3" s="1"/>
  <c r="BV22" i="3"/>
  <c r="BZ22" i="3" s="1"/>
  <c r="BK22" i="3"/>
  <c r="R22" i="3"/>
  <c r="T22" i="3" s="1"/>
  <c r="P22" i="3"/>
  <c r="H22" i="3"/>
  <c r="F22" i="3"/>
  <c r="AZ22" i="3" s="1"/>
  <c r="BV21" i="3"/>
  <c r="BZ21" i="3" s="1"/>
  <c r="BK21" i="3"/>
  <c r="R21" i="3"/>
  <c r="T21" i="3" s="1"/>
  <c r="P21" i="3"/>
  <c r="H21" i="3"/>
  <c r="F21" i="3"/>
  <c r="AZ21" i="3" s="1"/>
  <c r="BV20" i="3"/>
  <c r="BZ20" i="3" s="1"/>
  <c r="BK20" i="3"/>
  <c r="BO20" i="3" s="1"/>
  <c r="R20" i="3"/>
  <c r="T20" i="3" s="1"/>
  <c r="P20" i="3"/>
  <c r="H20" i="3"/>
  <c r="F20" i="3"/>
  <c r="BV19" i="3"/>
  <c r="BZ19" i="3" s="1"/>
  <c r="BK19" i="3"/>
  <c r="R19" i="3"/>
  <c r="T19" i="3" s="1"/>
  <c r="P19" i="3"/>
  <c r="H19" i="3"/>
  <c r="F19" i="3"/>
  <c r="AZ19" i="3" s="1"/>
  <c r="BV18" i="3"/>
  <c r="BZ18" i="3" s="1"/>
  <c r="BK18" i="3"/>
  <c r="R18" i="3"/>
  <c r="T18" i="3" s="1"/>
  <c r="P18" i="3"/>
  <c r="H18" i="3"/>
  <c r="F18" i="3"/>
  <c r="AZ18" i="3" s="1"/>
  <c r="BV17" i="3"/>
  <c r="BZ17" i="3" s="1"/>
  <c r="BK17" i="3"/>
  <c r="BO17" i="3" s="1"/>
  <c r="R17" i="3"/>
  <c r="T17" i="3" s="1"/>
  <c r="P17" i="3"/>
  <c r="H17" i="3"/>
  <c r="F17" i="3"/>
  <c r="AZ17" i="3" s="1"/>
  <c r="BV16" i="3"/>
  <c r="BZ16" i="3" s="1"/>
  <c r="BK16" i="3"/>
  <c r="R16" i="3"/>
  <c r="T16" i="3" s="1"/>
  <c r="P16" i="3"/>
  <c r="H16" i="3"/>
  <c r="BB16" i="3" s="1"/>
  <c r="F16" i="3"/>
  <c r="AZ16" i="3" s="1"/>
  <c r="BV15" i="3"/>
  <c r="BZ15" i="3" s="1"/>
  <c r="BK15" i="3"/>
  <c r="R15" i="3"/>
  <c r="T15" i="3" s="1"/>
  <c r="P15" i="3"/>
  <c r="H15" i="3"/>
  <c r="F15" i="3"/>
  <c r="BV14" i="3"/>
  <c r="BZ14" i="3" s="1"/>
  <c r="BK14" i="3"/>
  <c r="R14" i="3"/>
  <c r="T14" i="3" s="1"/>
  <c r="P14" i="3"/>
  <c r="H14" i="3"/>
  <c r="F14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V13" i="3"/>
  <c r="BZ13" i="3" s="1"/>
  <c r="BK13" i="3"/>
  <c r="R13" i="3"/>
  <c r="T13" i="3" s="1"/>
  <c r="P13" i="3"/>
  <c r="H13" i="3"/>
  <c r="BB13" i="3" s="1"/>
  <c r="F13" i="3"/>
  <c r="AZ13" i="3" s="1"/>
  <c r="BV12" i="3"/>
  <c r="BZ12" i="3" s="1"/>
  <c r="BK12" i="3"/>
  <c r="BO12" i="3" s="1"/>
  <c r="R12" i="3"/>
  <c r="T12" i="3" s="1"/>
  <c r="P12" i="3"/>
  <c r="H12" i="3"/>
  <c r="F12" i="3"/>
  <c r="BV11" i="3"/>
  <c r="BZ11" i="3" s="1"/>
  <c r="BK11" i="3"/>
  <c r="R11" i="3"/>
  <c r="T11" i="3" s="1"/>
  <c r="P11" i="3"/>
  <c r="H11" i="3"/>
  <c r="F11" i="3"/>
  <c r="BV10" i="3"/>
  <c r="BZ10" i="3" s="1"/>
  <c r="BK10" i="3"/>
  <c r="BO10" i="3" s="1"/>
  <c r="R10" i="3"/>
  <c r="T10" i="3" s="1"/>
  <c r="P10" i="3"/>
  <c r="N10" i="3"/>
  <c r="Q10" i="3" s="1"/>
  <c r="L10" i="3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H10" i="3"/>
  <c r="F10" i="3"/>
  <c r="D10" i="3"/>
  <c r="B10" i="3"/>
  <c r="B11" i="3" s="1"/>
  <c r="B12" i="3" s="1"/>
  <c r="B13" i="3" s="1"/>
  <c r="BV9" i="3"/>
  <c r="BZ9" i="3" s="1"/>
  <c r="BK9" i="3"/>
  <c r="Q9" i="3"/>
  <c r="R9" i="3" s="1"/>
  <c r="T9" i="3" s="1"/>
  <c r="P9" i="3"/>
  <c r="G9" i="3"/>
  <c r="F9" i="3"/>
  <c r="AZ9" i="3" s="1"/>
  <c r="DE78" i="3" l="1"/>
  <c r="CY77" i="3"/>
  <c r="CZ78" i="3"/>
  <c r="DD79" i="3"/>
  <c r="BB57" i="3"/>
  <c r="BB77" i="3"/>
  <c r="BX82" i="3"/>
  <c r="BZ82" i="3"/>
  <c r="AZ24" i="3"/>
  <c r="BB37" i="3"/>
  <c r="BB14" i="3"/>
  <c r="AZ34" i="3"/>
  <c r="AZ44" i="3"/>
  <c r="AZ54" i="3"/>
  <c r="AZ64" i="3"/>
  <c r="BO9" i="3"/>
  <c r="BO28" i="3"/>
  <c r="AZ32" i="3"/>
  <c r="AZ62" i="3"/>
  <c r="AZ72" i="3"/>
  <c r="BB10" i="3"/>
  <c r="BB23" i="3"/>
  <c r="AZ43" i="3"/>
  <c r="AZ53" i="3"/>
  <c r="AZ63" i="3"/>
  <c r="AZ73" i="3"/>
  <c r="BO16" i="3"/>
  <c r="BO26" i="3"/>
  <c r="BB33" i="3"/>
  <c r="BB43" i="3"/>
  <c r="BB63" i="3"/>
  <c r="BB73" i="3"/>
  <c r="BX84" i="3"/>
  <c r="BZ84" i="3"/>
  <c r="CS80" i="3"/>
  <c r="CO79" i="3"/>
  <c r="CT76" i="3"/>
  <c r="CN75" i="3"/>
  <c r="CF79" i="3"/>
  <c r="CH80" i="3"/>
  <c r="CC75" i="3"/>
  <c r="CI76" i="3"/>
  <c r="CD77" i="3"/>
  <c r="J38" i="3"/>
  <c r="BB38" i="3"/>
  <c r="J22" i="3"/>
  <c r="BB22" i="3"/>
  <c r="J47" i="3"/>
  <c r="BB47" i="3"/>
  <c r="N11" i="3"/>
  <c r="J67" i="3"/>
  <c r="BB67" i="3"/>
  <c r="BB17" i="3"/>
  <c r="J24" i="3"/>
  <c r="BB24" i="3"/>
  <c r="J40" i="3"/>
  <c r="BB40" i="3"/>
  <c r="BB49" i="3"/>
  <c r="AZ60" i="3"/>
  <c r="AZ69" i="3"/>
  <c r="BB78" i="3"/>
  <c r="AZ83" i="3"/>
  <c r="AZ14" i="3"/>
  <c r="AZ26" i="3"/>
  <c r="AZ33" i="3"/>
  <c r="AZ42" i="3"/>
  <c r="AZ51" i="3"/>
  <c r="BO52" i="3"/>
  <c r="J60" i="3"/>
  <c r="BB60" i="3"/>
  <c r="J69" i="3"/>
  <c r="BB69" i="3"/>
  <c r="AZ80" i="3"/>
  <c r="J83" i="3"/>
  <c r="BB83" i="3"/>
  <c r="J66" i="3"/>
  <c r="BB66" i="3"/>
  <c r="J35" i="3"/>
  <c r="BB35" i="3"/>
  <c r="BX81" i="3"/>
  <c r="J21" i="3"/>
  <c r="BB21" i="3"/>
  <c r="J59" i="3"/>
  <c r="BB59" i="3"/>
  <c r="BB18" i="3"/>
  <c r="J25" i="3"/>
  <c r="BB25" i="3"/>
  <c r="J32" i="3"/>
  <c r="BB32" i="3"/>
  <c r="J79" i="3"/>
  <c r="BB79" i="3"/>
  <c r="J11" i="3"/>
  <c r="BB11" i="3"/>
  <c r="BO14" i="3"/>
  <c r="AZ27" i="3"/>
  <c r="AZ52" i="3"/>
  <c r="BB61" i="3"/>
  <c r="BB70" i="3"/>
  <c r="J46" i="3"/>
  <c r="BB46" i="3"/>
  <c r="AZ12" i="3"/>
  <c r="J34" i="3"/>
  <c r="BB34" i="3"/>
  <c r="J29" i="3"/>
  <c r="BB29" i="3"/>
  <c r="J51" i="3"/>
  <c r="BB51" i="3"/>
  <c r="H9" i="3"/>
  <c r="BB9" i="3" s="1"/>
  <c r="BA9" i="3"/>
  <c r="J62" i="3"/>
  <c r="BB62" i="3"/>
  <c r="J53" i="3"/>
  <c r="BB53" i="3"/>
  <c r="BB12" i="3"/>
  <c r="AZ81" i="3"/>
  <c r="J75" i="3"/>
  <c r="BB75" i="3"/>
  <c r="AZ15" i="3"/>
  <c r="BB15" i="3"/>
  <c r="AZ20" i="3"/>
  <c r="BB36" i="3"/>
  <c r="AZ45" i="3"/>
  <c r="J54" i="3"/>
  <c r="BB54" i="3"/>
  <c r="AZ65" i="3"/>
  <c r="AZ74" i="3"/>
  <c r="BO75" i="3"/>
  <c r="BB81" i="3"/>
  <c r="AZ84" i="3"/>
  <c r="J42" i="3"/>
  <c r="BB42" i="3"/>
  <c r="J80" i="3"/>
  <c r="BB80" i="3"/>
  <c r="J19" i="3"/>
  <c r="BB19" i="3"/>
  <c r="AZ10" i="3"/>
  <c r="AZ11" i="3"/>
  <c r="BB20" i="3"/>
  <c r="AZ29" i="3"/>
  <c r="AZ38" i="3"/>
  <c r="J45" i="3"/>
  <c r="BB45" i="3"/>
  <c r="AZ56" i="3"/>
  <c r="BB65" i="3"/>
  <c r="BO66" i="3"/>
  <c r="BB74" i="3"/>
  <c r="BO82" i="3"/>
  <c r="BB84" i="3"/>
  <c r="BO32" i="3"/>
  <c r="BO46" i="3"/>
  <c r="BO61" i="3"/>
  <c r="BO62" i="3"/>
  <c r="BO81" i="3"/>
  <c r="BU83" i="3"/>
  <c r="BX83" i="3"/>
  <c r="BO30" i="3"/>
  <c r="BO60" i="3"/>
  <c r="BO13" i="3"/>
  <c r="BO59" i="3"/>
  <c r="BO51" i="3"/>
  <c r="BO58" i="3"/>
  <c r="BO34" i="3"/>
  <c r="BJ83" i="3"/>
  <c r="BJ82" i="3" s="1"/>
  <c r="BJ81" i="3" s="1"/>
  <c r="BJ80" i="3" s="1"/>
  <c r="BJ79" i="3" s="1"/>
  <c r="BJ78" i="3" s="1"/>
  <c r="BJ77" i="3" s="1"/>
  <c r="BJ76" i="3" s="1"/>
  <c r="BJ75" i="3" s="1"/>
  <c r="BJ74" i="3" s="1"/>
  <c r="BJ73" i="3" s="1"/>
  <c r="BJ72" i="3" s="1"/>
  <c r="BJ71" i="3" s="1"/>
  <c r="BJ70" i="3" s="1"/>
  <c r="BJ69" i="3" s="1"/>
  <c r="BJ68" i="3" s="1"/>
  <c r="BJ67" i="3" s="1"/>
  <c r="BJ66" i="3" s="1"/>
  <c r="BJ65" i="3" s="1"/>
  <c r="BJ64" i="3" s="1"/>
  <c r="BJ63" i="3" s="1"/>
  <c r="BJ62" i="3" s="1"/>
  <c r="BJ61" i="3" s="1"/>
  <c r="BJ60" i="3" s="1"/>
  <c r="BJ59" i="3" s="1"/>
  <c r="BJ58" i="3" s="1"/>
  <c r="BJ57" i="3" s="1"/>
  <c r="BJ56" i="3" s="1"/>
  <c r="BJ55" i="3" s="1"/>
  <c r="BJ54" i="3" s="1"/>
  <c r="BJ53" i="3" s="1"/>
  <c r="BJ52" i="3" s="1"/>
  <c r="BJ51" i="3" s="1"/>
  <c r="BJ50" i="3" s="1"/>
  <c r="BJ49" i="3" s="1"/>
  <c r="BJ48" i="3" s="1"/>
  <c r="BJ47" i="3" s="1"/>
  <c r="BJ46" i="3" s="1"/>
  <c r="BJ45" i="3" s="1"/>
  <c r="BJ44" i="3" s="1"/>
  <c r="BJ43" i="3" s="1"/>
  <c r="BJ42" i="3" s="1"/>
  <c r="BJ41" i="3" s="1"/>
  <c r="BJ40" i="3" s="1"/>
  <c r="BJ39" i="3" s="1"/>
  <c r="BJ38" i="3" s="1"/>
  <c r="BJ37" i="3" s="1"/>
  <c r="BJ36" i="3" s="1"/>
  <c r="BJ35" i="3" s="1"/>
  <c r="BJ34" i="3" s="1"/>
  <c r="BJ33" i="3" s="1"/>
  <c r="BJ32" i="3" s="1"/>
  <c r="BJ31" i="3" s="1"/>
  <c r="BJ30" i="3" s="1"/>
  <c r="BJ29" i="3" s="1"/>
  <c r="BJ28" i="3" s="1"/>
  <c r="BJ27" i="3" s="1"/>
  <c r="BJ26" i="3" s="1"/>
  <c r="BJ25" i="3" s="1"/>
  <c r="BJ24" i="3" s="1"/>
  <c r="BJ23" i="3" s="1"/>
  <c r="BJ22" i="3" s="1"/>
  <c r="BJ21" i="3" s="1"/>
  <c r="BJ20" i="3" s="1"/>
  <c r="BJ19" i="3" s="1"/>
  <c r="BJ18" i="3" s="1"/>
  <c r="BJ17" i="3" s="1"/>
  <c r="BJ16" i="3" s="1"/>
  <c r="BJ15" i="3" s="1"/>
  <c r="BJ14" i="3" s="1"/>
  <c r="BJ13" i="3" s="1"/>
  <c r="BJ12" i="3" s="1"/>
  <c r="BJ11" i="3" s="1"/>
  <c r="BJ10" i="3" s="1"/>
  <c r="BJ9" i="3" s="1"/>
  <c r="BO41" i="3"/>
  <c r="BO79" i="3"/>
  <c r="BO33" i="3"/>
  <c r="BM83" i="3"/>
  <c r="BO49" i="3"/>
  <c r="BO57" i="3"/>
  <c r="BO78" i="3"/>
  <c r="BO21" i="3"/>
  <c r="BO56" i="3"/>
  <c r="BO77" i="3"/>
  <c r="BO48" i="3"/>
  <c r="BO19" i="3"/>
  <c r="BO54" i="3"/>
  <c r="BO63" i="3"/>
  <c r="BM82" i="3"/>
  <c r="BO53" i="3"/>
  <c r="BO73" i="3"/>
  <c r="BO25" i="3"/>
  <c r="BO35" i="3"/>
  <c r="BO71" i="3"/>
  <c r="BO68" i="3"/>
  <c r="BO50" i="3"/>
  <c r="AU12" i="3"/>
  <c r="AR13" i="3"/>
  <c r="AH13" i="3"/>
  <c r="AK12" i="3"/>
  <c r="X13" i="3"/>
  <c r="AA12" i="3"/>
  <c r="J72" i="3"/>
  <c r="J58" i="3"/>
  <c r="J52" i="3"/>
  <c r="J44" i="3"/>
  <c r="J14" i="3"/>
  <c r="J12" i="3"/>
  <c r="J41" i="3"/>
  <c r="J73" i="3"/>
  <c r="J9" i="3"/>
  <c r="J31" i="3"/>
  <c r="J55" i="3"/>
  <c r="J39" i="3"/>
  <c r="J20" i="3"/>
  <c r="J50" i="3"/>
  <c r="J18" i="3"/>
  <c r="J16" i="3"/>
  <c r="J13" i="3"/>
  <c r="J30" i="3"/>
  <c r="J70" i="3"/>
  <c r="J15" i="3"/>
  <c r="J57" i="3"/>
  <c r="J56" i="3"/>
  <c r="J27" i="3"/>
  <c r="J28" i="3"/>
  <c r="J26" i="3"/>
  <c r="J37" i="3"/>
  <c r="J65" i="3"/>
  <c r="J78" i="3"/>
  <c r="J64" i="3"/>
  <c r="J36" i="3"/>
  <c r="J10" i="3"/>
  <c r="J23" i="3"/>
  <c r="J43" i="3"/>
  <c r="J63" i="3"/>
  <c r="J76" i="3"/>
  <c r="J33" i="3"/>
  <c r="J82" i="3"/>
  <c r="BO22" i="3"/>
  <c r="BR79" i="3"/>
  <c r="BX80" i="3"/>
  <c r="BO18" i="3"/>
  <c r="BO38" i="3"/>
  <c r="G10" i="3"/>
  <c r="BA10" i="3" s="1"/>
  <c r="D11" i="3"/>
  <c r="BO11" i="3"/>
  <c r="J84" i="3"/>
  <c r="BO15" i="3"/>
  <c r="BH82" i="3"/>
  <c r="BO27" i="3"/>
  <c r="J68" i="3"/>
  <c r="J61" i="3"/>
  <c r="BG80" i="3"/>
  <c r="BM81" i="3"/>
  <c r="J17" i="3"/>
  <c r="BO40" i="3"/>
  <c r="J48" i="3"/>
  <c r="BS81" i="3"/>
  <c r="BO23" i="3"/>
  <c r="BO70" i="3"/>
  <c r="J74" i="3"/>
  <c r="J77" i="3"/>
  <c r="J81" i="3"/>
  <c r="BO67" i="3"/>
  <c r="J49" i="3"/>
  <c r="BO80" i="3"/>
  <c r="J71" i="3"/>
  <c r="BO84" i="3"/>
  <c r="CG10" i="2"/>
  <c r="CG11" i="2"/>
  <c r="CG12" i="2"/>
  <c r="CG13" i="2"/>
  <c r="CG14" i="2"/>
  <c r="CG15" i="2"/>
  <c r="CG16" i="2"/>
  <c r="CG17" i="2"/>
  <c r="CG18" i="2"/>
  <c r="CG19" i="2"/>
  <c r="CG20" i="2"/>
  <c r="CG21" i="2"/>
  <c r="CG22" i="2"/>
  <c r="CG23" i="2"/>
  <c r="CG24" i="2"/>
  <c r="CG25" i="2"/>
  <c r="CG26" i="2"/>
  <c r="CG27" i="2"/>
  <c r="CG28" i="2"/>
  <c r="CG29" i="2"/>
  <c r="CG30" i="2"/>
  <c r="CG31" i="2"/>
  <c r="CG32" i="2"/>
  <c r="CG33" i="2"/>
  <c r="CG34" i="2"/>
  <c r="CG35" i="2"/>
  <c r="CG36" i="2"/>
  <c r="CG37" i="2"/>
  <c r="CG38" i="2"/>
  <c r="CG39" i="2"/>
  <c r="CG40" i="2"/>
  <c r="CG41" i="2"/>
  <c r="CG42" i="2"/>
  <c r="CG43" i="2"/>
  <c r="CG44" i="2"/>
  <c r="CG45" i="2"/>
  <c r="CG46" i="2"/>
  <c r="CG47" i="2"/>
  <c r="CG48" i="2"/>
  <c r="CG49" i="2"/>
  <c r="CG50" i="2"/>
  <c r="CG51" i="2"/>
  <c r="CG52" i="2"/>
  <c r="CG53" i="2"/>
  <c r="CG54" i="2"/>
  <c r="CG55" i="2"/>
  <c r="CG56" i="2"/>
  <c r="CG57" i="2"/>
  <c r="CG58" i="2"/>
  <c r="CG59" i="2"/>
  <c r="CG60" i="2"/>
  <c r="CG61" i="2"/>
  <c r="CG62" i="2"/>
  <c r="CG63" i="2"/>
  <c r="CG64" i="2"/>
  <c r="CG65" i="2"/>
  <c r="CG66" i="2"/>
  <c r="CG67" i="2"/>
  <c r="CG68" i="2"/>
  <c r="CG69" i="2"/>
  <c r="CG70" i="2"/>
  <c r="CG71" i="2"/>
  <c r="CG72" i="2"/>
  <c r="CG73" i="2"/>
  <c r="CG74" i="2"/>
  <c r="CG75" i="2"/>
  <c r="CG76" i="2"/>
  <c r="CG77" i="2"/>
  <c r="CG78" i="2"/>
  <c r="CG79" i="2"/>
  <c r="CG80" i="2"/>
  <c r="CG81" i="2"/>
  <c r="CG82" i="2"/>
  <c r="CG83" i="2"/>
  <c r="CG84" i="2"/>
  <c r="CG9" i="2"/>
  <c r="CS84" i="2"/>
  <c r="CT84" i="2" s="1"/>
  <c r="CL84" i="2"/>
  <c r="CO84" i="2" s="1"/>
  <c r="CU83" i="2"/>
  <c r="CS83" i="2"/>
  <c r="CT83" i="2" s="1"/>
  <c r="CP83" i="2"/>
  <c r="CN83" i="2"/>
  <c r="CM83" i="2"/>
  <c r="CL83" i="2"/>
  <c r="CJ83" i="2"/>
  <c r="CU82" i="2"/>
  <c r="CU81" i="2" s="1"/>
  <c r="CU80" i="2" s="1"/>
  <c r="CU79" i="2" s="1"/>
  <c r="CU78" i="2" s="1"/>
  <c r="CU77" i="2" s="1"/>
  <c r="CU76" i="2" s="1"/>
  <c r="CU75" i="2" s="1"/>
  <c r="CU74" i="2" s="1"/>
  <c r="CU73" i="2" s="1"/>
  <c r="CS82" i="2"/>
  <c r="CT82" i="2" s="1"/>
  <c r="CP82" i="2"/>
  <c r="CP81" i="2" s="1"/>
  <c r="CP80" i="2" s="1"/>
  <c r="CP79" i="2" s="1"/>
  <c r="CP78" i="2" s="1"/>
  <c r="CP77" i="2" s="1"/>
  <c r="CP76" i="2" s="1"/>
  <c r="CP75" i="2" s="1"/>
  <c r="CP74" i="2" s="1"/>
  <c r="CP73" i="2" s="1"/>
  <c r="CP72" i="2" s="1"/>
  <c r="CP71" i="2" s="1"/>
  <c r="CP70" i="2" s="1"/>
  <c r="CP69" i="2" s="1"/>
  <c r="CP68" i="2" s="1"/>
  <c r="CP67" i="2" s="1"/>
  <c r="CP66" i="2" s="1"/>
  <c r="CP65" i="2" s="1"/>
  <c r="CP64" i="2" s="1"/>
  <c r="CP63" i="2" s="1"/>
  <c r="CP62" i="2" s="1"/>
  <c r="CP61" i="2" s="1"/>
  <c r="CP60" i="2" s="1"/>
  <c r="CP59" i="2" s="1"/>
  <c r="CP58" i="2" s="1"/>
  <c r="CP57" i="2" s="1"/>
  <c r="CP56" i="2" s="1"/>
  <c r="CP55" i="2" s="1"/>
  <c r="CP54" i="2" s="1"/>
  <c r="CP53" i="2" s="1"/>
  <c r="CP52" i="2" s="1"/>
  <c r="CP51" i="2" s="1"/>
  <c r="CP50" i="2" s="1"/>
  <c r="CP49" i="2" s="1"/>
  <c r="CP48" i="2" s="1"/>
  <c r="CP47" i="2" s="1"/>
  <c r="CP46" i="2" s="1"/>
  <c r="CP45" i="2" s="1"/>
  <c r="CP44" i="2" s="1"/>
  <c r="CP43" i="2" s="1"/>
  <c r="CP42" i="2" s="1"/>
  <c r="CP41" i="2" s="1"/>
  <c r="CP40" i="2" s="1"/>
  <c r="CP39" i="2" s="1"/>
  <c r="CP38" i="2" s="1"/>
  <c r="CP37" i="2" s="1"/>
  <c r="CP36" i="2" s="1"/>
  <c r="CP35" i="2" s="1"/>
  <c r="CP34" i="2" s="1"/>
  <c r="CP33" i="2" s="1"/>
  <c r="CP32" i="2" s="1"/>
  <c r="CP31" i="2" s="1"/>
  <c r="CP30" i="2" s="1"/>
  <c r="CP29" i="2" s="1"/>
  <c r="CP28" i="2" s="1"/>
  <c r="CP27" i="2" s="1"/>
  <c r="CP26" i="2" s="1"/>
  <c r="CP25" i="2" s="1"/>
  <c r="CP24" i="2" s="1"/>
  <c r="CP23" i="2" s="1"/>
  <c r="CP22" i="2" s="1"/>
  <c r="CP21" i="2" s="1"/>
  <c r="CP20" i="2" s="1"/>
  <c r="CP19" i="2" s="1"/>
  <c r="CP18" i="2" s="1"/>
  <c r="CP17" i="2" s="1"/>
  <c r="CP16" i="2" s="1"/>
  <c r="CP15" i="2" s="1"/>
  <c r="CP14" i="2" s="1"/>
  <c r="CP13" i="2" s="1"/>
  <c r="CP12" i="2" s="1"/>
  <c r="CP11" i="2" s="1"/>
  <c r="CP10" i="2" s="1"/>
  <c r="CP9" i="2" s="1"/>
  <c r="CN82" i="2"/>
  <c r="CN81" i="2" s="1"/>
  <c r="CN80" i="2" s="1"/>
  <c r="CN79" i="2" s="1"/>
  <c r="CN78" i="2" s="1"/>
  <c r="CN77" i="2" s="1"/>
  <c r="CN76" i="2" s="1"/>
  <c r="CN75" i="2" s="1"/>
  <c r="CN74" i="2" s="1"/>
  <c r="CN73" i="2" s="1"/>
  <c r="CN72" i="2" s="1"/>
  <c r="CN71" i="2" s="1"/>
  <c r="CN70" i="2" s="1"/>
  <c r="CN69" i="2" s="1"/>
  <c r="CN68" i="2" s="1"/>
  <c r="CN67" i="2" s="1"/>
  <c r="CN66" i="2" s="1"/>
  <c r="CN65" i="2" s="1"/>
  <c r="CN64" i="2" s="1"/>
  <c r="CN63" i="2" s="1"/>
  <c r="CN62" i="2" s="1"/>
  <c r="CN61" i="2" s="1"/>
  <c r="CN60" i="2" s="1"/>
  <c r="CN59" i="2" s="1"/>
  <c r="CN58" i="2" s="1"/>
  <c r="CN57" i="2" s="1"/>
  <c r="CN56" i="2" s="1"/>
  <c r="CN55" i="2" s="1"/>
  <c r="CN54" i="2" s="1"/>
  <c r="CN53" i="2" s="1"/>
  <c r="CN52" i="2" s="1"/>
  <c r="CN51" i="2" s="1"/>
  <c r="CN50" i="2" s="1"/>
  <c r="CN49" i="2" s="1"/>
  <c r="CN48" i="2" s="1"/>
  <c r="CN47" i="2" s="1"/>
  <c r="CN46" i="2" s="1"/>
  <c r="CN45" i="2" s="1"/>
  <c r="CN44" i="2" s="1"/>
  <c r="CN43" i="2" s="1"/>
  <c r="CN42" i="2" s="1"/>
  <c r="CN41" i="2" s="1"/>
  <c r="CN40" i="2" s="1"/>
  <c r="CN39" i="2" s="1"/>
  <c r="CN38" i="2" s="1"/>
  <c r="CN37" i="2" s="1"/>
  <c r="CN36" i="2" s="1"/>
  <c r="CN35" i="2" s="1"/>
  <c r="CN34" i="2" s="1"/>
  <c r="CN33" i="2" s="1"/>
  <c r="CN32" i="2" s="1"/>
  <c r="CN31" i="2" s="1"/>
  <c r="CN30" i="2" s="1"/>
  <c r="CN29" i="2" s="1"/>
  <c r="CN28" i="2" s="1"/>
  <c r="CN27" i="2" s="1"/>
  <c r="CN26" i="2" s="1"/>
  <c r="CN25" i="2" s="1"/>
  <c r="CN24" i="2" s="1"/>
  <c r="CN23" i="2" s="1"/>
  <c r="CN22" i="2" s="1"/>
  <c r="CN21" i="2" s="1"/>
  <c r="CN20" i="2" s="1"/>
  <c r="CN19" i="2" s="1"/>
  <c r="CN18" i="2" s="1"/>
  <c r="CN17" i="2" s="1"/>
  <c r="CN16" i="2" s="1"/>
  <c r="CN15" i="2" s="1"/>
  <c r="CN14" i="2" s="1"/>
  <c r="CN13" i="2" s="1"/>
  <c r="CN12" i="2" s="1"/>
  <c r="CN11" i="2" s="1"/>
  <c r="CN10" i="2" s="1"/>
  <c r="CN9" i="2" s="1"/>
  <c r="CM82" i="2"/>
  <c r="CL82" i="2"/>
  <c r="CI82" i="2"/>
  <c r="CS81" i="2"/>
  <c r="CT81" i="2" s="1"/>
  <c r="CM81" i="2"/>
  <c r="CL81" i="2"/>
  <c r="CI81" i="2"/>
  <c r="CI80" i="2" s="1"/>
  <c r="CI79" i="2" s="1"/>
  <c r="CI78" i="2" s="1"/>
  <c r="CI77" i="2" s="1"/>
  <c r="CI76" i="2" s="1"/>
  <c r="CS80" i="2"/>
  <c r="CM80" i="2"/>
  <c r="CL80" i="2"/>
  <c r="CS79" i="2"/>
  <c r="CT79" i="2" s="1"/>
  <c r="CM79" i="2"/>
  <c r="CL79" i="2"/>
  <c r="CS78" i="2"/>
  <c r="CT78" i="2" s="1"/>
  <c r="CM78" i="2"/>
  <c r="CL78" i="2"/>
  <c r="CS77" i="2"/>
  <c r="CT77" i="2" s="1"/>
  <c r="CM77" i="2"/>
  <c r="CL77" i="2" s="1"/>
  <c r="CS76" i="2"/>
  <c r="CM76" i="2"/>
  <c r="CL76" i="2"/>
  <c r="CS75" i="2"/>
  <c r="CT75" i="2" s="1"/>
  <c r="CM75" i="2"/>
  <c r="CL75" i="2"/>
  <c r="CI75" i="2"/>
  <c r="CI74" i="2" s="1"/>
  <c r="CS74" i="2"/>
  <c r="CM74" i="2"/>
  <c r="CL74" i="2" s="1"/>
  <c r="CS73" i="2"/>
  <c r="CT73" i="2" s="1"/>
  <c r="CM73" i="2"/>
  <c r="CL73" i="2"/>
  <c r="CI73" i="2"/>
  <c r="CI72" i="2" s="1"/>
  <c r="CI71" i="2" s="1"/>
  <c r="CI70" i="2" s="1"/>
  <c r="CI69" i="2" s="1"/>
  <c r="CI68" i="2" s="1"/>
  <c r="CI67" i="2" s="1"/>
  <c r="CI66" i="2" s="1"/>
  <c r="CI65" i="2" s="1"/>
  <c r="CI64" i="2" s="1"/>
  <c r="CI63" i="2" s="1"/>
  <c r="CI62" i="2" s="1"/>
  <c r="CI61" i="2" s="1"/>
  <c r="CI60" i="2" s="1"/>
  <c r="CI59" i="2" s="1"/>
  <c r="CI58" i="2" s="1"/>
  <c r="CI57" i="2" s="1"/>
  <c r="CI56" i="2" s="1"/>
  <c r="CI55" i="2" s="1"/>
  <c r="CI54" i="2" s="1"/>
  <c r="CI53" i="2" s="1"/>
  <c r="CI52" i="2" s="1"/>
  <c r="CI51" i="2" s="1"/>
  <c r="CI50" i="2" s="1"/>
  <c r="CI49" i="2" s="1"/>
  <c r="CI48" i="2" s="1"/>
  <c r="CI47" i="2" s="1"/>
  <c r="CI46" i="2" s="1"/>
  <c r="CI45" i="2" s="1"/>
  <c r="CI44" i="2" s="1"/>
  <c r="CI43" i="2" s="1"/>
  <c r="CI42" i="2" s="1"/>
  <c r="CI41" i="2" s="1"/>
  <c r="CI40" i="2" s="1"/>
  <c r="CI39" i="2" s="1"/>
  <c r="CI38" i="2" s="1"/>
  <c r="CI37" i="2" s="1"/>
  <c r="CI36" i="2" s="1"/>
  <c r="CI35" i="2" s="1"/>
  <c r="CI34" i="2" s="1"/>
  <c r="CI33" i="2" s="1"/>
  <c r="CI32" i="2" s="1"/>
  <c r="CI31" i="2" s="1"/>
  <c r="CI30" i="2" s="1"/>
  <c r="CI29" i="2" s="1"/>
  <c r="CI28" i="2" s="1"/>
  <c r="CI27" i="2" s="1"/>
  <c r="CI26" i="2" s="1"/>
  <c r="CI25" i="2" s="1"/>
  <c r="CI24" i="2" s="1"/>
  <c r="CI23" i="2" s="1"/>
  <c r="CI22" i="2" s="1"/>
  <c r="CI21" i="2" s="1"/>
  <c r="CI20" i="2" s="1"/>
  <c r="CI19" i="2" s="1"/>
  <c r="CI18" i="2" s="1"/>
  <c r="CI17" i="2" s="1"/>
  <c r="CI16" i="2" s="1"/>
  <c r="CI15" i="2" s="1"/>
  <c r="CI14" i="2" s="1"/>
  <c r="CI13" i="2" s="1"/>
  <c r="CI12" i="2" s="1"/>
  <c r="CI11" i="2" s="1"/>
  <c r="CI10" i="2" s="1"/>
  <c r="CI9" i="2" s="1"/>
  <c r="CU72" i="2"/>
  <c r="CU71" i="2" s="1"/>
  <c r="CU70" i="2" s="1"/>
  <c r="CU69" i="2" s="1"/>
  <c r="CU68" i="2" s="1"/>
  <c r="CS72" i="2"/>
  <c r="CT72" i="2" s="1"/>
  <c r="CM72" i="2"/>
  <c r="CL72" i="2"/>
  <c r="CS71" i="2"/>
  <c r="CM71" i="2"/>
  <c r="CL71" i="2" s="1"/>
  <c r="CS70" i="2"/>
  <c r="CM70" i="2"/>
  <c r="CL70" i="2"/>
  <c r="CS69" i="2"/>
  <c r="CM69" i="2"/>
  <c r="CL69" i="2"/>
  <c r="CS68" i="2"/>
  <c r="CM68" i="2"/>
  <c r="CL68" i="2"/>
  <c r="CS67" i="2"/>
  <c r="CM67" i="2"/>
  <c r="CL67" i="2"/>
  <c r="CS66" i="2"/>
  <c r="CM66" i="2"/>
  <c r="CL66" i="2"/>
  <c r="CS65" i="2"/>
  <c r="CM65" i="2"/>
  <c r="CL65" i="2"/>
  <c r="CS64" i="2"/>
  <c r="CM64" i="2"/>
  <c r="CL64" i="2"/>
  <c r="CS63" i="2"/>
  <c r="CM63" i="2"/>
  <c r="CL63" i="2" s="1"/>
  <c r="CS62" i="2"/>
  <c r="CM62" i="2"/>
  <c r="CL62" i="2"/>
  <c r="CS61" i="2"/>
  <c r="CM61" i="2"/>
  <c r="CL61" i="2"/>
  <c r="CS60" i="2"/>
  <c r="CM60" i="2"/>
  <c r="CL60" i="2"/>
  <c r="CS59" i="2"/>
  <c r="CM59" i="2"/>
  <c r="CL59" i="2" s="1"/>
  <c r="CS58" i="2"/>
  <c r="CM58" i="2"/>
  <c r="CL58" i="2"/>
  <c r="CS57" i="2"/>
  <c r="CM57" i="2"/>
  <c r="CL57" i="2"/>
  <c r="CS56" i="2"/>
  <c r="CM56" i="2"/>
  <c r="CL56" i="2"/>
  <c r="CS55" i="2"/>
  <c r="CM55" i="2"/>
  <c r="CL55" i="2"/>
  <c r="CS54" i="2"/>
  <c r="CM54" i="2"/>
  <c r="CL54" i="2"/>
  <c r="CS53" i="2"/>
  <c r="CM53" i="2"/>
  <c r="CL53" i="2"/>
  <c r="CS52" i="2"/>
  <c r="CM52" i="2"/>
  <c r="CL52" i="2"/>
  <c r="CS51" i="2"/>
  <c r="CM51" i="2"/>
  <c r="CL51" i="2"/>
  <c r="CS50" i="2"/>
  <c r="CM50" i="2"/>
  <c r="CL50" i="2"/>
  <c r="CS49" i="2"/>
  <c r="CM49" i="2"/>
  <c r="CL49" i="2"/>
  <c r="CS48" i="2"/>
  <c r="CM48" i="2"/>
  <c r="CL48" i="2"/>
  <c r="CS47" i="2"/>
  <c r="CM47" i="2"/>
  <c r="CL47" i="2" s="1"/>
  <c r="CS46" i="2"/>
  <c r="CM46" i="2"/>
  <c r="CL46" i="2"/>
  <c r="CS45" i="2"/>
  <c r="CM45" i="2"/>
  <c r="CL45" i="2"/>
  <c r="CS44" i="2"/>
  <c r="CM44" i="2"/>
  <c r="CL44" i="2"/>
  <c r="CS43" i="2"/>
  <c r="CM43" i="2"/>
  <c r="CL43" i="2" s="1"/>
  <c r="CS42" i="2"/>
  <c r="CM42" i="2"/>
  <c r="CL42" i="2"/>
  <c r="CS41" i="2"/>
  <c r="CM41" i="2"/>
  <c r="CL41" i="2"/>
  <c r="CS40" i="2"/>
  <c r="CM40" i="2"/>
  <c r="CL40" i="2" s="1"/>
  <c r="CS39" i="2"/>
  <c r="CM39" i="2"/>
  <c r="CL39" i="2"/>
  <c r="CS38" i="2"/>
  <c r="CM38" i="2"/>
  <c r="CL38" i="2"/>
  <c r="CS37" i="2"/>
  <c r="CM37" i="2"/>
  <c r="CL37" i="2"/>
  <c r="CS36" i="2"/>
  <c r="CM36" i="2"/>
  <c r="CL36" i="2"/>
  <c r="CS35" i="2"/>
  <c r="CM35" i="2"/>
  <c r="CL35" i="2" s="1"/>
  <c r="CS34" i="2"/>
  <c r="CM34" i="2"/>
  <c r="CL34" i="2"/>
  <c r="CS33" i="2"/>
  <c r="CM33" i="2"/>
  <c r="CL33" i="2" s="1"/>
  <c r="CS32" i="2"/>
  <c r="CM32" i="2"/>
  <c r="CL32" i="2" s="1"/>
  <c r="CS31" i="2"/>
  <c r="CM31" i="2"/>
  <c r="CL31" i="2"/>
  <c r="CS30" i="2"/>
  <c r="CM30" i="2"/>
  <c r="CL30" i="2"/>
  <c r="CS29" i="2"/>
  <c r="CM29" i="2"/>
  <c r="CL29" i="2"/>
  <c r="CS28" i="2"/>
  <c r="CM28" i="2"/>
  <c r="CL28" i="2"/>
  <c r="CS27" i="2"/>
  <c r="CM27" i="2"/>
  <c r="CL27" i="2"/>
  <c r="CS26" i="2"/>
  <c r="CM26" i="2"/>
  <c r="CL26" i="2"/>
  <c r="CS25" i="2"/>
  <c r="CM25" i="2"/>
  <c r="CL25" i="2"/>
  <c r="CS24" i="2"/>
  <c r="CM24" i="2"/>
  <c r="CL24" i="2"/>
  <c r="CS23" i="2"/>
  <c r="CM23" i="2"/>
  <c r="CL23" i="2" s="1"/>
  <c r="CS22" i="2"/>
  <c r="CM22" i="2"/>
  <c r="CL22" i="2"/>
  <c r="CS21" i="2"/>
  <c r="CM21" i="2"/>
  <c r="CL21" i="2"/>
  <c r="CS20" i="2"/>
  <c r="CM20" i="2"/>
  <c r="CL20" i="2"/>
  <c r="CS19" i="2"/>
  <c r="CM19" i="2"/>
  <c r="CL19" i="2"/>
  <c r="CS18" i="2"/>
  <c r="CM18" i="2"/>
  <c r="CL18" i="2"/>
  <c r="CS17" i="2"/>
  <c r="CM17" i="2"/>
  <c r="CL17" i="2"/>
  <c r="CS16" i="2"/>
  <c r="CM16" i="2"/>
  <c r="CL16" i="2"/>
  <c r="CS15" i="2"/>
  <c r="CM15" i="2"/>
  <c r="CL15" i="2"/>
  <c r="CS14" i="2"/>
  <c r="CM14" i="2"/>
  <c r="CL14" i="2"/>
  <c r="CS13" i="2"/>
  <c r="CM13" i="2"/>
  <c r="CL13" i="2"/>
  <c r="CS12" i="2"/>
  <c r="CM12" i="2"/>
  <c r="CL12" i="2"/>
  <c r="CS11" i="2"/>
  <c r="CM11" i="2"/>
  <c r="CL11" i="2"/>
  <c r="CS10" i="2"/>
  <c r="CM10" i="2"/>
  <c r="CL10" i="2"/>
  <c r="CS9" i="2"/>
  <c r="CM9" i="2"/>
  <c r="CL9" i="2"/>
  <c r="BX82" i="2"/>
  <c r="BX81" i="2" s="1"/>
  <c r="BX80" i="2" s="1"/>
  <c r="BX79" i="2" s="1"/>
  <c r="BX78" i="2" s="1"/>
  <c r="BX77" i="2" s="1"/>
  <c r="BX76" i="2" s="1"/>
  <c r="BX75" i="2" s="1"/>
  <c r="BX74" i="2" s="1"/>
  <c r="BX73" i="2" s="1"/>
  <c r="BX72" i="2" s="1"/>
  <c r="BX71" i="2" s="1"/>
  <c r="BX70" i="2" s="1"/>
  <c r="BX69" i="2" s="1"/>
  <c r="BX68" i="2" s="1"/>
  <c r="BX67" i="2" s="1"/>
  <c r="BX66" i="2" s="1"/>
  <c r="BX65" i="2" s="1"/>
  <c r="BX64" i="2" s="1"/>
  <c r="BX63" i="2" s="1"/>
  <c r="BX62" i="2" s="1"/>
  <c r="BX61" i="2" s="1"/>
  <c r="BX60" i="2" s="1"/>
  <c r="BX59" i="2" s="1"/>
  <c r="BX58" i="2" s="1"/>
  <c r="BX57" i="2" s="1"/>
  <c r="BX56" i="2" s="1"/>
  <c r="BX55" i="2" s="1"/>
  <c r="BX54" i="2" s="1"/>
  <c r="BX53" i="2" s="1"/>
  <c r="BX52" i="2" s="1"/>
  <c r="BX51" i="2" s="1"/>
  <c r="BX50" i="2" s="1"/>
  <c r="BX49" i="2" s="1"/>
  <c r="BX48" i="2" s="1"/>
  <c r="BX47" i="2" s="1"/>
  <c r="BX46" i="2" s="1"/>
  <c r="BX45" i="2" s="1"/>
  <c r="BX44" i="2" s="1"/>
  <c r="BX43" i="2" s="1"/>
  <c r="BX42" i="2" s="1"/>
  <c r="BX41" i="2" s="1"/>
  <c r="BX40" i="2" s="1"/>
  <c r="BX39" i="2" s="1"/>
  <c r="BX38" i="2" s="1"/>
  <c r="BX37" i="2" s="1"/>
  <c r="BX36" i="2" s="1"/>
  <c r="BX35" i="2" s="1"/>
  <c r="BX34" i="2" s="1"/>
  <c r="BX33" i="2" s="1"/>
  <c r="BX32" i="2" s="1"/>
  <c r="BX31" i="2" s="1"/>
  <c r="BX30" i="2" s="1"/>
  <c r="BX29" i="2" s="1"/>
  <c r="BX28" i="2" s="1"/>
  <c r="BX27" i="2" s="1"/>
  <c r="BX26" i="2" s="1"/>
  <c r="BX25" i="2" s="1"/>
  <c r="BX24" i="2" s="1"/>
  <c r="BX23" i="2" s="1"/>
  <c r="BX22" i="2" s="1"/>
  <c r="BX21" i="2" s="1"/>
  <c r="BX20" i="2" s="1"/>
  <c r="BX19" i="2" s="1"/>
  <c r="BX18" i="2" s="1"/>
  <c r="BX17" i="2" s="1"/>
  <c r="BX16" i="2" s="1"/>
  <c r="BX15" i="2" s="1"/>
  <c r="BX14" i="2" s="1"/>
  <c r="BX13" i="2" s="1"/>
  <c r="BX12" i="2" s="1"/>
  <c r="BX11" i="2" s="1"/>
  <c r="BX10" i="2" s="1"/>
  <c r="BX9" i="2" s="1"/>
  <c r="BX83" i="2"/>
  <c r="CE83" i="2"/>
  <c r="CE82" i="2" s="1"/>
  <c r="CE81" i="2" s="1"/>
  <c r="CE80" i="2" s="1"/>
  <c r="CE79" i="2" s="1"/>
  <c r="CE78" i="2" s="1"/>
  <c r="CE77" i="2" s="1"/>
  <c r="AR9" i="2"/>
  <c r="BY84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D83" i="2" s="1"/>
  <c r="CC84" i="2"/>
  <c r="CD84" i="2" s="1"/>
  <c r="BV11" i="2"/>
  <c r="BV12" i="2"/>
  <c r="BV14" i="2"/>
  <c r="BV15" i="2"/>
  <c r="BV18" i="2"/>
  <c r="BV26" i="2"/>
  <c r="BV27" i="2"/>
  <c r="BV31" i="2"/>
  <c r="BV32" i="2"/>
  <c r="BV34" i="2"/>
  <c r="BV35" i="2"/>
  <c r="BV38" i="2"/>
  <c r="BV46" i="2"/>
  <c r="BV47" i="2"/>
  <c r="BV51" i="2"/>
  <c r="BV52" i="2"/>
  <c r="BV54" i="2"/>
  <c r="BV55" i="2"/>
  <c r="BV58" i="2"/>
  <c r="BV66" i="2"/>
  <c r="BV67" i="2"/>
  <c r="BV71" i="2"/>
  <c r="BV72" i="2"/>
  <c r="BV74" i="2"/>
  <c r="BV75" i="2"/>
  <c r="BV78" i="2"/>
  <c r="BW9" i="2"/>
  <c r="BV9" i="2" s="1"/>
  <c r="BW10" i="2"/>
  <c r="BV10" i="2" s="1"/>
  <c r="BW11" i="2"/>
  <c r="BW12" i="2"/>
  <c r="BW13" i="2"/>
  <c r="BV13" i="2" s="1"/>
  <c r="BW14" i="2"/>
  <c r="BW15" i="2"/>
  <c r="BW16" i="2"/>
  <c r="BV16" i="2" s="1"/>
  <c r="BW17" i="2"/>
  <c r="BV17" i="2" s="1"/>
  <c r="BW18" i="2"/>
  <c r="BW19" i="2"/>
  <c r="BV19" i="2" s="1"/>
  <c r="BW20" i="2"/>
  <c r="BV20" i="2" s="1"/>
  <c r="BW21" i="2"/>
  <c r="BV21" i="2" s="1"/>
  <c r="BW22" i="2"/>
  <c r="BV22" i="2" s="1"/>
  <c r="BW23" i="2"/>
  <c r="BV23" i="2" s="1"/>
  <c r="BW24" i="2"/>
  <c r="BV24" i="2" s="1"/>
  <c r="BW25" i="2"/>
  <c r="BV25" i="2" s="1"/>
  <c r="BW26" i="2"/>
  <c r="BW27" i="2"/>
  <c r="BW28" i="2"/>
  <c r="BV28" i="2" s="1"/>
  <c r="BW29" i="2"/>
  <c r="BV29" i="2" s="1"/>
  <c r="BW30" i="2"/>
  <c r="BV30" i="2" s="1"/>
  <c r="BW31" i="2"/>
  <c r="BW32" i="2"/>
  <c r="BW33" i="2"/>
  <c r="BV33" i="2" s="1"/>
  <c r="BW34" i="2"/>
  <c r="BW35" i="2"/>
  <c r="BW36" i="2"/>
  <c r="BV36" i="2" s="1"/>
  <c r="BW37" i="2"/>
  <c r="BV37" i="2" s="1"/>
  <c r="BW38" i="2"/>
  <c r="BW39" i="2"/>
  <c r="BV39" i="2" s="1"/>
  <c r="BW40" i="2"/>
  <c r="BV40" i="2" s="1"/>
  <c r="BW41" i="2"/>
  <c r="BV41" i="2" s="1"/>
  <c r="BW42" i="2"/>
  <c r="BV42" i="2" s="1"/>
  <c r="BW43" i="2"/>
  <c r="BV43" i="2" s="1"/>
  <c r="BW44" i="2"/>
  <c r="BV44" i="2" s="1"/>
  <c r="BW45" i="2"/>
  <c r="BV45" i="2" s="1"/>
  <c r="BW46" i="2"/>
  <c r="BW47" i="2"/>
  <c r="BW48" i="2"/>
  <c r="BV48" i="2" s="1"/>
  <c r="BW49" i="2"/>
  <c r="BV49" i="2" s="1"/>
  <c r="BW50" i="2"/>
  <c r="BV50" i="2" s="1"/>
  <c r="BW51" i="2"/>
  <c r="BW52" i="2"/>
  <c r="BW53" i="2"/>
  <c r="BV53" i="2" s="1"/>
  <c r="BW54" i="2"/>
  <c r="BW55" i="2"/>
  <c r="BW56" i="2"/>
  <c r="BV56" i="2" s="1"/>
  <c r="BW57" i="2"/>
  <c r="BV57" i="2" s="1"/>
  <c r="BW58" i="2"/>
  <c r="BW59" i="2"/>
  <c r="BV59" i="2" s="1"/>
  <c r="BW60" i="2"/>
  <c r="BV60" i="2" s="1"/>
  <c r="BW61" i="2"/>
  <c r="BV61" i="2" s="1"/>
  <c r="BW62" i="2"/>
  <c r="BV62" i="2" s="1"/>
  <c r="BW63" i="2"/>
  <c r="BV63" i="2" s="1"/>
  <c r="BW64" i="2"/>
  <c r="BV64" i="2" s="1"/>
  <c r="BW65" i="2"/>
  <c r="BV65" i="2" s="1"/>
  <c r="BW66" i="2"/>
  <c r="BW67" i="2"/>
  <c r="BW68" i="2"/>
  <c r="BV68" i="2" s="1"/>
  <c r="BW69" i="2"/>
  <c r="BV69" i="2" s="1"/>
  <c r="BW70" i="2"/>
  <c r="BV70" i="2" s="1"/>
  <c r="BW71" i="2"/>
  <c r="BW72" i="2"/>
  <c r="BW73" i="2"/>
  <c r="BV73" i="2" s="1"/>
  <c r="BW74" i="2"/>
  <c r="BW75" i="2"/>
  <c r="BW76" i="2"/>
  <c r="BV76" i="2" s="1"/>
  <c r="BW77" i="2"/>
  <c r="BV77" i="2" s="1"/>
  <c r="BW78" i="2"/>
  <c r="BW79" i="2"/>
  <c r="BV79" i="2" s="1"/>
  <c r="BW80" i="2"/>
  <c r="BV80" i="2" s="1"/>
  <c r="BW81" i="2"/>
  <c r="BV81" i="2" s="1"/>
  <c r="BY81" i="2" s="1"/>
  <c r="BW82" i="2"/>
  <c r="BV82" i="2" s="1"/>
  <c r="BY82" i="2" s="1"/>
  <c r="BW83" i="2"/>
  <c r="BV83" i="2" s="1"/>
  <c r="BZ83" i="2"/>
  <c r="BZ82" i="2" s="1"/>
  <c r="BZ81" i="2" s="1"/>
  <c r="BZ80" i="2" s="1"/>
  <c r="BZ79" i="2" s="1"/>
  <c r="BZ78" i="2" s="1"/>
  <c r="BZ77" i="2" s="1"/>
  <c r="BZ76" i="2" s="1"/>
  <c r="BZ75" i="2" s="1"/>
  <c r="BZ74" i="2" s="1"/>
  <c r="BZ73" i="2" s="1"/>
  <c r="BZ72" i="2" s="1"/>
  <c r="BZ71" i="2" s="1"/>
  <c r="BZ70" i="2" s="1"/>
  <c r="BZ69" i="2" s="1"/>
  <c r="BZ68" i="2" s="1"/>
  <c r="BZ67" i="2" s="1"/>
  <c r="BZ66" i="2" s="1"/>
  <c r="BZ65" i="2" s="1"/>
  <c r="BZ64" i="2" s="1"/>
  <c r="BZ63" i="2" s="1"/>
  <c r="BZ62" i="2" s="1"/>
  <c r="BZ61" i="2" s="1"/>
  <c r="BZ60" i="2" s="1"/>
  <c r="BZ59" i="2" s="1"/>
  <c r="BZ58" i="2" s="1"/>
  <c r="BZ57" i="2" s="1"/>
  <c r="BZ56" i="2" s="1"/>
  <c r="BZ55" i="2" s="1"/>
  <c r="BZ54" i="2" s="1"/>
  <c r="BZ53" i="2" s="1"/>
  <c r="BZ52" i="2" s="1"/>
  <c r="BZ51" i="2" s="1"/>
  <c r="BZ50" i="2" s="1"/>
  <c r="BZ49" i="2" s="1"/>
  <c r="BZ48" i="2" s="1"/>
  <c r="BZ47" i="2" s="1"/>
  <c r="BZ46" i="2" s="1"/>
  <c r="BZ45" i="2" s="1"/>
  <c r="BZ44" i="2" s="1"/>
  <c r="BZ43" i="2" s="1"/>
  <c r="BZ42" i="2" s="1"/>
  <c r="BZ41" i="2" s="1"/>
  <c r="BZ40" i="2" s="1"/>
  <c r="BZ39" i="2" s="1"/>
  <c r="BZ38" i="2" s="1"/>
  <c r="BZ37" i="2" s="1"/>
  <c r="BZ36" i="2" s="1"/>
  <c r="BZ35" i="2" s="1"/>
  <c r="BZ34" i="2" s="1"/>
  <c r="BZ33" i="2" s="1"/>
  <c r="BZ32" i="2" s="1"/>
  <c r="BZ31" i="2" s="1"/>
  <c r="BZ30" i="2" s="1"/>
  <c r="BZ29" i="2" s="1"/>
  <c r="BZ28" i="2" s="1"/>
  <c r="BZ27" i="2" s="1"/>
  <c r="BZ26" i="2" s="1"/>
  <c r="BZ25" i="2" s="1"/>
  <c r="BZ24" i="2" s="1"/>
  <c r="BZ23" i="2" s="1"/>
  <c r="BZ22" i="2" s="1"/>
  <c r="BZ21" i="2" s="1"/>
  <c r="BZ20" i="2" s="1"/>
  <c r="BZ19" i="2" s="1"/>
  <c r="BZ18" i="2" s="1"/>
  <c r="BZ17" i="2" s="1"/>
  <c r="BZ16" i="2" s="1"/>
  <c r="BZ15" i="2" s="1"/>
  <c r="BZ14" i="2" s="1"/>
  <c r="BZ13" i="2" s="1"/>
  <c r="BZ12" i="2" s="1"/>
  <c r="BZ11" i="2" s="1"/>
  <c r="BZ10" i="2" s="1"/>
  <c r="BZ9" i="2" s="1"/>
  <c r="BS82" i="2"/>
  <c r="BS81" i="2" s="1"/>
  <c r="BS80" i="2" s="1"/>
  <c r="BS79" i="2" s="1"/>
  <c r="BS78" i="2" s="1"/>
  <c r="BS77" i="2" s="1"/>
  <c r="BS76" i="2" s="1"/>
  <c r="BS75" i="2" s="1"/>
  <c r="BS74" i="2" s="1"/>
  <c r="BS73" i="2" s="1"/>
  <c r="BS72" i="2" s="1"/>
  <c r="BS71" i="2" s="1"/>
  <c r="BS70" i="2" s="1"/>
  <c r="BS69" i="2" s="1"/>
  <c r="BS68" i="2" s="1"/>
  <c r="BS67" i="2" s="1"/>
  <c r="BS66" i="2" s="1"/>
  <c r="BS65" i="2" s="1"/>
  <c r="BS64" i="2" s="1"/>
  <c r="BS63" i="2" s="1"/>
  <c r="BS62" i="2" s="1"/>
  <c r="BS61" i="2" s="1"/>
  <c r="BS60" i="2" s="1"/>
  <c r="BS59" i="2" s="1"/>
  <c r="BS58" i="2" s="1"/>
  <c r="BS57" i="2" s="1"/>
  <c r="BS56" i="2" s="1"/>
  <c r="BS55" i="2" s="1"/>
  <c r="BS54" i="2" s="1"/>
  <c r="BS53" i="2" s="1"/>
  <c r="BS52" i="2" s="1"/>
  <c r="BS51" i="2" s="1"/>
  <c r="BS50" i="2" s="1"/>
  <c r="BS49" i="2" s="1"/>
  <c r="BS48" i="2" s="1"/>
  <c r="BS47" i="2" s="1"/>
  <c r="BS46" i="2" s="1"/>
  <c r="BS45" i="2" s="1"/>
  <c r="BS44" i="2" s="1"/>
  <c r="BS43" i="2" s="1"/>
  <c r="BS42" i="2" s="1"/>
  <c r="BS41" i="2" s="1"/>
  <c r="BS40" i="2" s="1"/>
  <c r="BS39" i="2" s="1"/>
  <c r="BS38" i="2" s="1"/>
  <c r="BS37" i="2" s="1"/>
  <c r="BS36" i="2" s="1"/>
  <c r="BS35" i="2" s="1"/>
  <c r="BS34" i="2" s="1"/>
  <c r="BS33" i="2" s="1"/>
  <c r="BS32" i="2" s="1"/>
  <c r="BS31" i="2" s="1"/>
  <c r="BS30" i="2" s="1"/>
  <c r="BS29" i="2" s="1"/>
  <c r="BS28" i="2" s="1"/>
  <c r="BS27" i="2" s="1"/>
  <c r="BS26" i="2" s="1"/>
  <c r="BS25" i="2" s="1"/>
  <c r="BS24" i="2" s="1"/>
  <c r="BS23" i="2" s="1"/>
  <c r="BS22" i="2" s="1"/>
  <c r="BS21" i="2" s="1"/>
  <c r="BS20" i="2" s="1"/>
  <c r="BS19" i="2" s="1"/>
  <c r="BS18" i="2" s="1"/>
  <c r="BS17" i="2" s="1"/>
  <c r="BS16" i="2" s="1"/>
  <c r="BS15" i="2" s="1"/>
  <c r="BS14" i="2" s="1"/>
  <c r="BS13" i="2" s="1"/>
  <c r="BS12" i="2" s="1"/>
  <c r="BS11" i="2" s="1"/>
  <c r="BS10" i="2" s="1"/>
  <c r="BS9" i="2" s="1"/>
  <c r="BV84" i="2"/>
  <c r="BT83" i="2"/>
  <c r="BT82" i="2"/>
  <c r="BT81" i="2" s="1"/>
  <c r="BF22" i="2"/>
  <c r="BF23" i="2"/>
  <c r="BF24" i="2"/>
  <c r="BF26" i="2"/>
  <c r="BF27" i="2"/>
  <c r="BF28" i="2"/>
  <c r="BF29" i="2"/>
  <c r="BF42" i="2"/>
  <c r="BF43" i="2"/>
  <c r="BF44" i="2"/>
  <c r="BF46" i="2"/>
  <c r="BF47" i="2"/>
  <c r="BF48" i="2"/>
  <c r="BF49" i="2"/>
  <c r="BF61" i="2"/>
  <c r="BF62" i="2"/>
  <c r="BF63" i="2"/>
  <c r="BF64" i="2"/>
  <c r="BF66" i="2"/>
  <c r="BF67" i="2"/>
  <c r="BF68" i="2"/>
  <c r="BF69" i="2"/>
  <c r="BF81" i="2"/>
  <c r="BF82" i="2"/>
  <c r="BF84" i="2"/>
  <c r="BM84" i="2"/>
  <c r="BO84" i="2" s="1"/>
  <c r="BL84" i="2"/>
  <c r="BN84" i="2" s="1"/>
  <c r="BM83" i="2"/>
  <c r="BO83" i="2" s="1"/>
  <c r="BL83" i="2"/>
  <c r="BL82" i="2" s="1"/>
  <c r="BL81" i="2" s="1"/>
  <c r="BJ83" i="2"/>
  <c r="BJ82" i="2" s="1"/>
  <c r="BJ81" i="2" s="1"/>
  <c r="BJ80" i="2" s="1"/>
  <c r="BJ79" i="2" s="1"/>
  <c r="BH83" i="2"/>
  <c r="BM82" i="2"/>
  <c r="BO82" i="2" s="1"/>
  <c r="BH82" i="2"/>
  <c r="BH81" i="2" s="1"/>
  <c r="BH80" i="2" s="1"/>
  <c r="BH79" i="2" s="1"/>
  <c r="BH78" i="2" s="1"/>
  <c r="BH77" i="2" s="1"/>
  <c r="BH76" i="2" s="1"/>
  <c r="BH75" i="2" s="1"/>
  <c r="BH74" i="2" s="1"/>
  <c r="BH73" i="2" s="1"/>
  <c r="BH72" i="2" s="1"/>
  <c r="BH71" i="2" s="1"/>
  <c r="BH70" i="2" s="1"/>
  <c r="BH69" i="2" s="1"/>
  <c r="BH68" i="2" s="1"/>
  <c r="BH67" i="2" s="1"/>
  <c r="BH66" i="2" s="1"/>
  <c r="BH65" i="2" s="1"/>
  <c r="BH64" i="2" s="1"/>
  <c r="BH63" i="2" s="1"/>
  <c r="BH62" i="2" s="1"/>
  <c r="BH61" i="2" s="1"/>
  <c r="BH60" i="2" s="1"/>
  <c r="BM81" i="2"/>
  <c r="BI81" i="2"/>
  <c r="BM80" i="2"/>
  <c r="BI80" i="2"/>
  <c r="BO80" i="2" s="1"/>
  <c r="BM79" i="2"/>
  <c r="BF79" i="2" s="1"/>
  <c r="BI79" i="2"/>
  <c r="BM78" i="2"/>
  <c r="BF78" i="2" s="1"/>
  <c r="BM77" i="2"/>
  <c r="BF77" i="2" s="1"/>
  <c r="BM76" i="2"/>
  <c r="BF76" i="2" s="1"/>
  <c r="BM75" i="2"/>
  <c r="BF75" i="2" s="1"/>
  <c r="BM74" i="2"/>
  <c r="BF74" i="2" s="1"/>
  <c r="BM73" i="2"/>
  <c r="BF73" i="2" s="1"/>
  <c r="BM72" i="2"/>
  <c r="BF72" i="2" s="1"/>
  <c r="BM71" i="2"/>
  <c r="BF71" i="2" s="1"/>
  <c r="BM70" i="2"/>
  <c r="BF70" i="2" s="1"/>
  <c r="BM69" i="2"/>
  <c r="BM68" i="2"/>
  <c r="BM67" i="2"/>
  <c r="BM66" i="2"/>
  <c r="BM65" i="2"/>
  <c r="BF65" i="2" s="1"/>
  <c r="BM64" i="2"/>
  <c r="BM63" i="2"/>
  <c r="BM62" i="2"/>
  <c r="BM61" i="2"/>
  <c r="BM60" i="2"/>
  <c r="BF60" i="2" s="1"/>
  <c r="BM59" i="2"/>
  <c r="BF59" i="2" s="1"/>
  <c r="BH59" i="2"/>
  <c r="BH58" i="2" s="1"/>
  <c r="BH57" i="2" s="1"/>
  <c r="BH56" i="2" s="1"/>
  <c r="BH55" i="2" s="1"/>
  <c r="BH54" i="2" s="1"/>
  <c r="BH53" i="2" s="1"/>
  <c r="BH52" i="2" s="1"/>
  <c r="BH51" i="2" s="1"/>
  <c r="BH50" i="2" s="1"/>
  <c r="BH49" i="2" s="1"/>
  <c r="BH48" i="2" s="1"/>
  <c r="BH47" i="2" s="1"/>
  <c r="BH46" i="2" s="1"/>
  <c r="BH45" i="2" s="1"/>
  <c r="BH44" i="2" s="1"/>
  <c r="BH43" i="2" s="1"/>
  <c r="BH42" i="2" s="1"/>
  <c r="BH41" i="2" s="1"/>
  <c r="BH40" i="2" s="1"/>
  <c r="BH39" i="2" s="1"/>
  <c r="BH38" i="2" s="1"/>
  <c r="BH37" i="2" s="1"/>
  <c r="BH36" i="2" s="1"/>
  <c r="BH35" i="2" s="1"/>
  <c r="BH34" i="2" s="1"/>
  <c r="BH33" i="2" s="1"/>
  <c r="BH32" i="2" s="1"/>
  <c r="BH31" i="2" s="1"/>
  <c r="BH30" i="2" s="1"/>
  <c r="BH29" i="2" s="1"/>
  <c r="BH28" i="2" s="1"/>
  <c r="BH27" i="2" s="1"/>
  <c r="BH26" i="2" s="1"/>
  <c r="BH25" i="2" s="1"/>
  <c r="BH24" i="2" s="1"/>
  <c r="BH23" i="2" s="1"/>
  <c r="BH22" i="2" s="1"/>
  <c r="BH21" i="2" s="1"/>
  <c r="BH20" i="2" s="1"/>
  <c r="BH19" i="2" s="1"/>
  <c r="BH18" i="2" s="1"/>
  <c r="BH17" i="2" s="1"/>
  <c r="BH16" i="2" s="1"/>
  <c r="BH15" i="2" s="1"/>
  <c r="BH14" i="2" s="1"/>
  <c r="BH13" i="2" s="1"/>
  <c r="BH12" i="2" s="1"/>
  <c r="BH11" i="2" s="1"/>
  <c r="BH10" i="2" s="1"/>
  <c r="BH9" i="2" s="1"/>
  <c r="BM58" i="2"/>
  <c r="BF58" i="2" s="1"/>
  <c r="BM57" i="2"/>
  <c r="BF57" i="2" s="1"/>
  <c r="BM56" i="2"/>
  <c r="BF56" i="2" s="1"/>
  <c r="BM55" i="2"/>
  <c r="BF55" i="2" s="1"/>
  <c r="BM54" i="2"/>
  <c r="BF54" i="2" s="1"/>
  <c r="BM53" i="2"/>
  <c r="BF53" i="2" s="1"/>
  <c r="BM52" i="2"/>
  <c r="BM51" i="2"/>
  <c r="BF51" i="2" s="1"/>
  <c r="BM50" i="2"/>
  <c r="BF50" i="2" s="1"/>
  <c r="BM49" i="2"/>
  <c r="BM48" i="2"/>
  <c r="BM47" i="2"/>
  <c r="BM46" i="2"/>
  <c r="BM45" i="2"/>
  <c r="BF45" i="2" s="1"/>
  <c r="BM44" i="2"/>
  <c r="BM43" i="2"/>
  <c r="BM42" i="2"/>
  <c r="BM41" i="2"/>
  <c r="BF41" i="2" s="1"/>
  <c r="BM40" i="2"/>
  <c r="BF40" i="2" s="1"/>
  <c r="BM39" i="2"/>
  <c r="BF39" i="2" s="1"/>
  <c r="BM38" i="2"/>
  <c r="BF38" i="2" s="1"/>
  <c r="BM37" i="2"/>
  <c r="BF37" i="2" s="1"/>
  <c r="BM36" i="2"/>
  <c r="BF36" i="2" s="1"/>
  <c r="BM35" i="2"/>
  <c r="BF35" i="2" s="1"/>
  <c r="BM34" i="2"/>
  <c r="BF34" i="2" s="1"/>
  <c r="BM33" i="2"/>
  <c r="BF33" i="2" s="1"/>
  <c r="BM32" i="2"/>
  <c r="BM31" i="2"/>
  <c r="BF31" i="2" s="1"/>
  <c r="BM30" i="2"/>
  <c r="BF30" i="2" s="1"/>
  <c r="BM29" i="2"/>
  <c r="BM28" i="2"/>
  <c r="BM27" i="2"/>
  <c r="BM26" i="2"/>
  <c r="BM25" i="2"/>
  <c r="BF25" i="2" s="1"/>
  <c r="BM24" i="2"/>
  <c r="BM23" i="2"/>
  <c r="BM22" i="2"/>
  <c r="BM21" i="2"/>
  <c r="BF21" i="2" s="1"/>
  <c r="BM20" i="2"/>
  <c r="BF20" i="2" s="1"/>
  <c r="BM19" i="2"/>
  <c r="BF19" i="2" s="1"/>
  <c r="BM18" i="2"/>
  <c r="BF18" i="2" s="1"/>
  <c r="BM17" i="2"/>
  <c r="BF17" i="2" s="1"/>
  <c r="BM16" i="2"/>
  <c r="BF16" i="2" s="1"/>
  <c r="BM15" i="2"/>
  <c r="BF15" i="2" s="1"/>
  <c r="BM14" i="2"/>
  <c r="BF14" i="2" s="1"/>
  <c r="BM13" i="2"/>
  <c r="BF13" i="2" s="1"/>
  <c r="BM12" i="2"/>
  <c r="BM11" i="2"/>
  <c r="BF11" i="2" s="1"/>
  <c r="BM10" i="2"/>
  <c r="BF10" i="2" s="1"/>
  <c r="BM9" i="2"/>
  <c r="BD84" i="2"/>
  <c r="BB50" i="2"/>
  <c r="BB51" i="2"/>
  <c r="BB49" i="2"/>
  <c r="BB9" i="2"/>
  <c r="BF9" i="2" s="1"/>
  <c r="BB10" i="2"/>
  <c r="BB11" i="2"/>
  <c r="BB12" i="2"/>
  <c r="BF12" i="2" s="1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F32" i="2" s="1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52" i="2"/>
  <c r="BF52" i="2" s="1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F80" i="2" s="1"/>
  <c r="BB81" i="2"/>
  <c r="BB82" i="2"/>
  <c r="BD82" i="2" s="1"/>
  <c r="BB83" i="2"/>
  <c r="BD83" i="2" s="1"/>
  <c r="BB84" i="2"/>
  <c r="BA84" i="2"/>
  <c r="AX81" i="2"/>
  <c r="BD81" i="2" s="1"/>
  <c r="AY83" i="2"/>
  <c r="AY82" i="2" s="1"/>
  <c r="AY81" i="2" s="1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9" i="2"/>
  <c r="AQ84" i="2"/>
  <c r="AL84" i="2"/>
  <c r="AQ83" i="2"/>
  <c r="AL83" i="2"/>
  <c r="AQ82" i="2"/>
  <c r="AL82" i="2"/>
  <c r="AQ81" i="2"/>
  <c r="AL81" i="2"/>
  <c r="AQ80" i="2"/>
  <c r="AL80" i="2"/>
  <c r="AQ79" i="2"/>
  <c r="AL79" i="2"/>
  <c r="AQ78" i="2"/>
  <c r="AL78" i="2"/>
  <c r="AQ77" i="2"/>
  <c r="AL77" i="2"/>
  <c r="AQ76" i="2"/>
  <c r="AL76" i="2"/>
  <c r="AQ75" i="2"/>
  <c r="AL75" i="2"/>
  <c r="AQ74" i="2"/>
  <c r="AL74" i="2"/>
  <c r="AQ73" i="2"/>
  <c r="AL73" i="2"/>
  <c r="AQ72" i="2"/>
  <c r="AL72" i="2"/>
  <c r="AQ71" i="2"/>
  <c r="AL71" i="2"/>
  <c r="AQ70" i="2"/>
  <c r="AL70" i="2"/>
  <c r="AQ69" i="2"/>
  <c r="AL69" i="2"/>
  <c r="AQ68" i="2"/>
  <c r="AL68" i="2"/>
  <c r="AQ67" i="2"/>
  <c r="AL67" i="2"/>
  <c r="AQ66" i="2"/>
  <c r="AL66" i="2"/>
  <c r="AQ65" i="2"/>
  <c r="AL65" i="2"/>
  <c r="AQ64" i="2"/>
  <c r="AL64" i="2"/>
  <c r="AQ63" i="2"/>
  <c r="AL63" i="2"/>
  <c r="AQ62" i="2"/>
  <c r="AL62" i="2"/>
  <c r="AQ61" i="2"/>
  <c r="AL61" i="2"/>
  <c r="AQ60" i="2"/>
  <c r="AL60" i="2"/>
  <c r="AQ59" i="2"/>
  <c r="AL59" i="2"/>
  <c r="AQ58" i="2"/>
  <c r="AL58" i="2"/>
  <c r="AQ57" i="2"/>
  <c r="AL57" i="2"/>
  <c r="AQ56" i="2"/>
  <c r="AL56" i="2"/>
  <c r="AQ55" i="2"/>
  <c r="AL55" i="2"/>
  <c r="AQ54" i="2"/>
  <c r="AL54" i="2"/>
  <c r="AQ53" i="2"/>
  <c r="AL53" i="2"/>
  <c r="AQ52" i="2"/>
  <c r="AL52" i="2"/>
  <c r="AQ51" i="2"/>
  <c r="AL51" i="2"/>
  <c r="AQ50" i="2"/>
  <c r="AL50" i="2"/>
  <c r="AQ49" i="2"/>
  <c r="AL49" i="2"/>
  <c r="AQ48" i="2"/>
  <c r="AL48" i="2"/>
  <c r="AQ47" i="2"/>
  <c r="AL47" i="2"/>
  <c r="AQ46" i="2"/>
  <c r="AL46" i="2"/>
  <c r="AQ45" i="2"/>
  <c r="AL45" i="2"/>
  <c r="AQ44" i="2"/>
  <c r="AL44" i="2"/>
  <c r="AQ43" i="2"/>
  <c r="AL43" i="2"/>
  <c r="AQ42" i="2"/>
  <c r="AL42" i="2"/>
  <c r="AQ41" i="2"/>
  <c r="AL41" i="2"/>
  <c r="AQ40" i="2"/>
  <c r="AL40" i="2"/>
  <c r="AQ39" i="2"/>
  <c r="AL39" i="2"/>
  <c r="AQ38" i="2"/>
  <c r="AL38" i="2"/>
  <c r="AQ37" i="2"/>
  <c r="AL37" i="2"/>
  <c r="AQ36" i="2"/>
  <c r="AL36" i="2"/>
  <c r="AQ35" i="2"/>
  <c r="AL35" i="2"/>
  <c r="AQ34" i="2"/>
  <c r="AL34" i="2"/>
  <c r="AQ33" i="2"/>
  <c r="AL33" i="2"/>
  <c r="AQ32" i="2"/>
  <c r="AL32" i="2"/>
  <c r="AQ31" i="2"/>
  <c r="AL31" i="2"/>
  <c r="AQ30" i="2"/>
  <c r="AL30" i="2"/>
  <c r="AQ29" i="2"/>
  <c r="AL29" i="2"/>
  <c r="AQ28" i="2"/>
  <c r="AL28" i="2"/>
  <c r="AQ27" i="2"/>
  <c r="AL27" i="2"/>
  <c r="AQ26" i="2"/>
  <c r="AL26" i="2"/>
  <c r="AQ25" i="2"/>
  <c r="AL25" i="2"/>
  <c r="AQ24" i="2"/>
  <c r="AL24" i="2"/>
  <c r="AQ23" i="2"/>
  <c r="AL23" i="2"/>
  <c r="AQ22" i="2"/>
  <c r="AL22" i="2"/>
  <c r="AQ21" i="2"/>
  <c r="AL21" i="2"/>
  <c r="AQ20" i="2"/>
  <c r="AL20" i="2"/>
  <c r="AQ19" i="2"/>
  <c r="AL19" i="2"/>
  <c r="AQ18" i="2"/>
  <c r="AL18" i="2"/>
  <c r="AQ17" i="2"/>
  <c r="AL17" i="2"/>
  <c r="AQ16" i="2"/>
  <c r="AL16" i="2"/>
  <c r="AQ15" i="2"/>
  <c r="AL15" i="2"/>
  <c r="AQ14" i="2"/>
  <c r="AL14" i="2"/>
  <c r="AQ13" i="2"/>
  <c r="AL13" i="2"/>
  <c r="AQ12" i="2"/>
  <c r="AL12" i="2"/>
  <c r="AQ11" i="2"/>
  <c r="AN11" i="2"/>
  <c r="AN12" i="2" s="1"/>
  <c r="AN13" i="2" s="1"/>
  <c r="AN14" i="2" s="1"/>
  <c r="AN15" i="2" s="1"/>
  <c r="AN16" i="2" s="1"/>
  <c r="AN17" i="2" s="1"/>
  <c r="AN18" i="2" s="1"/>
  <c r="AN19" i="2" s="1"/>
  <c r="AN20" i="2" s="1"/>
  <c r="AN21" i="2" s="1"/>
  <c r="AN22" i="2" s="1"/>
  <c r="AN23" i="2" s="1"/>
  <c r="AN24" i="2" s="1"/>
  <c r="AN25" i="2" s="1"/>
  <c r="AN26" i="2" s="1"/>
  <c r="AN27" i="2" s="1"/>
  <c r="AN28" i="2" s="1"/>
  <c r="AN29" i="2" s="1"/>
  <c r="AN30" i="2" s="1"/>
  <c r="AN31" i="2" s="1"/>
  <c r="AN32" i="2" s="1"/>
  <c r="AN33" i="2" s="1"/>
  <c r="AN34" i="2" s="1"/>
  <c r="AN35" i="2" s="1"/>
  <c r="AN36" i="2" s="1"/>
  <c r="AN37" i="2" s="1"/>
  <c r="AN38" i="2" s="1"/>
  <c r="AN39" i="2" s="1"/>
  <c r="AN40" i="2" s="1"/>
  <c r="AN41" i="2" s="1"/>
  <c r="AN42" i="2" s="1"/>
  <c r="AN43" i="2" s="1"/>
  <c r="AN44" i="2" s="1"/>
  <c r="AN45" i="2" s="1"/>
  <c r="AN46" i="2" s="1"/>
  <c r="AN47" i="2" s="1"/>
  <c r="AN48" i="2" s="1"/>
  <c r="AN49" i="2" s="1"/>
  <c r="AN50" i="2" s="1"/>
  <c r="AN51" i="2" s="1"/>
  <c r="AN52" i="2" s="1"/>
  <c r="AN53" i="2" s="1"/>
  <c r="AN54" i="2" s="1"/>
  <c r="AN55" i="2" s="1"/>
  <c r="AN56" i="2" s="1"/>
  <c r="AN57" i="2" s="1"/>
  <c r="AN58" i="2" s="1"/>
  <c r="AN59" i="2" s="1"/>
  <c r="AN60" i="2" s="1"/>
  <c r="AN61" i="2" s="1"/>
  <c r="AN62" i="2" s="1"/>
  <c r="AN63" i="2" s="1"/>
  <c r="AN64" i="2" s="1"/>
  <c r="AN65" i="2" s="1"/>
  <c r="AN66" i="2" s="1"/>
  <c r="AN67" i="2" s="1"/>
  <c r="AN68" i="2" s="1"/>
  <c r="AN69" i="2" s="1"/>
  <c r="AN70" i="2" s="1"/>
  <c r="AN71" i="2" s="1"/>
  <c r="AN72" i="2" s="1"/>
  <c r="AN73" i="2" s="1"/>
  <c r="AN74" i="2" s="1"/>
  <c r="AN75" i="2" s="1"/>
  <c r="AN76" i="2" s="1"/>
  <c r="AN77" i="2" s="1"/>
  <c r="AN78" i="2" s="1"/>
  <c r="AN79" i="2" s="1"/>
  <c r="AN80" i="2" s="1"/>
  <c r="AN81" i="2" s="1"/>
  <c r="AN82" i="2" s="1"/>
  <c r="AN83" i="2" s="1"/>
  <c r="AN84" i="2" s="1"/>
  <c r="AL11" i="2"/>
  <c r="AQ10" i="2"/>
  <c r="AN10" i="2"/>
  <c r="AL10" i="2"/>
  <c r="AJ10" i="2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J25" i="2" s="1"/>
  <c r="AJ26" i="2" s="1"/>
  <c r="AJ27" i="2" s="1"/>
  <c r="AI10" i="2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AI72" i="2" s="1"/>
  <c r="AI73" i="2" s="1"/>
  <c r="AI74" i="2" s="1"/>
  <c r="AI75" i="2" s="1"/>
  <c r="AI76" i="2" s="1"/>
  <c r="AI77" i="2" s="1"/>
  <c r="AI78" i="2" s="1"/>
  <c r="AI79" i="2" s="1"/>
  <c r="AI80" i="2" s="1"/>
  <c r="AI81" i="2" s="1"/>
  <c r="AI82" i="2" s="1"/>
  <c r="AI83" i="2" s="1"/>
  <c r="AI84" i="2" s="1"/>
  <c r="AQ9" i="2"/>
  <c r="AL9" i="2"/>
  <c r="AM9" i="2" s="1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9" i="2"/>
  <c r="AE9" i="2" s="1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10" i="2"/>
  <c r="AA10" i="2"/>
  <c r="AA11" i="2" s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AA38" i="2" s="1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A49" i="2" s="1"/>
  <c r="AA50" i="2" s="1"/>
  <c r="AA51" i="2" s="1"/>
  <c r="AA52" i="2" s="1"/>
  <c r="AA53" i="2" s="1"/>
  <c r="AA54" i="2" s="1"/>
  <c r="AA55" i="2" s="1"/>
  <c r="AA56" i="2" s="1"/>
  <c r="AA57" i="2" s="1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A72" i="2" s="1"/>
  <c r="AA73" i="2" s="1"/>
  <c r="AA74" i="2" s="1"/>
  <c r="AA75" i="2" s="1"/>
  <c r="AA76" i="2" s="1"/>
  <c r="AA77" i="2" s="1"/>
  <c r="AA78" i="2" s="1"/>
  <c r="AA79" i="2" s="1"/>
  <c r="AA80" i="2" s="1"/>
  <c r="AA81" i="2" s="1"/>
  <c r="AA82" i="2" s="1"/>
  <c r="AA83" i="2" s="1"/>
  <c r="AA84" i="2" s="1"/>
  <c r="V10" i="2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N10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W10" i="2"/>
  <c r="AE10" i="2" s="1"/>
  <c r="Y9" i="2"/>
  <c r="Z9" i="2" s="1"/>
  <c r="DD78" i="3" l="1"/>
  <c r="CZ77" i="3"/>
  <c r="DE77" i="3"/>
  <c r="CY76" i="3"/>
  <c r="CN74" i="3"/>
  <c r="CT75" i="3"/>
  <c r="CS79" i="3"/>
  <c r="CO78" i="3"/>
  <c r="CF78" i="3"/>
  <c r="CH79" i="3"/>
  <c r="CD76" i="3"/>
  <c r="CI75" i="3"/>
  <c r="CC74" i="3"/>
  <c r="Q11" i="3"/>
  <c r="N12" i="3"/>
  <c r="BW83" i="3"/>
  <c r="BU82" i="3"/>
  <c r="BL83" i="3"/>
  <c r="AR14" i="3"/>
  <c r="AU13" i="3"/>
  <c r="AH14" i="3"/>
  <c r="AK13" i="3"/>
  <c r="X14" i="3"/>
  <c r="AA13" i="3"/>
  <c r="G11" i="3"/>
  <c r="D12" i="3"/>
  <c r="BS80" i="3"/>
  <c r="BG79" i="3"/>
  <c r="BM80" i="3"/>
  <c r="BR78" i="3"/>
  <c r="BX79" i="3"/>
  <c r="BL82" i="3"/>
  <c r="BH81" i="3"/>
  <c r="CU67" i="2"/>
  <c r="CT68" i="2"/>
  <c r="CT70" i="2"/>
  <c r="CT71" i="2"/>
  <c r="CT80" i="2"/>
  <c r="CT69" i="2"/>
  <c r="CJ82" i="2"/>
  <c r="CO83" i="2"/>
  <c r="CT74" i="2"/>
  <c r="CT76" i="2"/>
  <c r="CM84" i="2"/>
  <c r="CD63" i="2"/>
  <c r="BY80" i="2"/>
  <c r="CD82" i="2"/>
  <c r="CD62" i="2"/>
  <c r="CD81" i="2"/>
  <c r="CD60" i="2"/>
  <c r="CD79" i="2"/>
  <c r="CD78" i="2"/>
  <c r="CD66" i="2"/>
  <c r="CD70" i="2"/>
  <c r="CE76" i="2"/>
  <c r="CE75" i="2" s="1"/>
  <c r="CE74" i="2" s="1"/>
  <c r="CE73" i="2" s="1"/>
  <c r="CE72" i="2" s="1"/>
  <c r="CE71" i="2" s="1"/>
  <c r="CE70" i="2" s="1"/>
  <c r="CE69" i="2" s="1"/>
  <c r="CE68" i="2" s="1"/>
  <c r="CE67" i="2" s="1"/>
  <c r="CE66" i="2" s="1"/>
  <c r="CE65" i="2" s="1"/>
  <c r="CE64" i="2" s="1"/>
  <c r="CE63" i="2" s="1"/>
  <c r="CE62" i="2" s="1"/>
  <c r="CE61" i="2" s="1"/>
  <c r="CE60" i="2" s="1"/>
  <c r="CE59" i="2" s="1"/>
  <c r="CD77" i="2"/>
  <c r="CD80" i="2"/>
  <c r="CD73" i="2"/>
  <c r="CD72" i="2"/>
  <c r="CD71" i="2"/>
  <c r="BY83" i="2"/>
  <c r="AM10" i="2"/>
  <c r="AR10" i="2"/>
  <c r="AR11" i="2"/>
  <c r="AR13" i="2"/>
  <c r="AX80" i="2"/>
  <c r="AX79" i="2" s="1"/>
  <c r="AX78" i="2" s="1"/>
  <c r="AX77" i="2" s="1"/>
  <c r="AX76" i="2" s="1"/>
  <c r="AX75" i="2" s="1"/>
  <c r="AX74" i="2" s="1"/>
  <c r="AX73" i="2" s="1"/>
  <c r="AX72" i="2" s="1"/>
  <c r="AX71" i="2" s="1"/>
  <c r="AX70" i="2" s="1"/>
  <c r="AX69" i="2" s="1"/>
  <c r="AX68" i="2" s="1"/>
  <c r="AX67" i="2" s="1"/>
  <c r="AX66" i="2" s="1"/>
  <c r="AX65" i="2" s="1"/>
  <c r="AX64" i="2" s="1"/>
  <c r="AX63" i="2" s="1"/>
  <c r="AX62" i="2" s="1"/>
  <c r="AX61" i="2" s="1"/>
  <c r="AX60" i="2" s="1"/>
  <c r="AX59" i="2" s="1"/>
  <c r="AX58" i="2" s="1"/>
  <c r="AX57" i="2" s="1"/>
  <c r="AX56" i="2" s="1"/>
  <c r="AX55" i="2" s="1"/>
  <c r="AX54" i="2" s="1"/>
  <c r="AX53" i="2" s="1"/>
  <c r="AX52" i="2" s="1"/>
  <c r="AX51" i="2" s="1"/>
  <c r="AX50" i="2" s="1"/>
  <c r="AX49" i="2" s="1"/>
  <c r="AX48" i="2" s="1"/>
  <c r="AX47" i="2" s="1"/>
  <c r="AX46" i="2" s="1"/>
  <c r="AX45" i="2" s="1"/>
  <c r="AX44" i="2" s="1"/>
  <c r="AX43" i="2" s="1"/>
  <c r="AX42" i="2" s="1"/>
  <c r="AX41" i="2" s="1"/>
  <c r="AX40" i="2" s="1"/>
  <c r="AX39" i="2" s="1"/>
  <c r="AX38" i="2" s="1"/>
  <c r="AX37" i="2" s="1"/>
  <c r="AX36" i="2" s="1"/>
  <c r="AX35" i="2" s="1"/>
  <c r="AX34" i="2" s="1"/>
  <c r="AX33" i="2" s="1"/>
  <c r="AX32" i="2" s="1"/>
  <c r="AX31" i="2" s="1"/>
  <c r="AX30" i="2" s="1"/>
  <c r="AX29" i="2" s="1"/>
  <c r="AX28" i="2" s="1"/>
  <c r="AX27" i="2" s="1"/>
  <c r="AX26" i="2" s="1"/>
  <c r="AX25" i="2" s="1"/>
  <c r="AX24" i="2" s="1"/>
  <c r="AX23" i="2" s="1"/>
  <c r="AX22" i="2" s="1"/>
  <c r="AX21" i="2" s="1"/>
  <c r="AX20" i="2" s="1"/>
  <c r="AX19" i="2" s="1"/>
  <c r="AX18" i="2" s="1"/>
  <c r="AX17" i="2" s="1"/>
  <c r="AX16" i="2" s="1"/>
  <c r="AX15" i="2" s="1"/>
  <c r="AX14" i="2" s="1"/>
  <c r="AX13" i="2" s="1"/>
  <c r="AX12" i="2" s="1"/>
  <c r="AX11" i="2" s="1"/>
  <c r="AX10" i="2" s="1"/>
  <c r="AX9" i="2" s="1"/>
  <c r="BD9" i="2" s="1"/>
  <c r="BO81" i="2"/>
  <c r="AM15" i="2"/>
  <c r="BA83" i="2"/>
  <c r="BA82" i="2" s="1"/>
  <c r="AM11" i="2"/>
  <c r="Z10" i="2"/>
  <c r="AR16" i="2"/>
  <c r="AM20" i="2"/>
  <c r="BF83" i="2"/>
  <c r="BN83" i="2"/>
  <c r="BW84" i="2"/>
  <c r="BT80" i="2"/>
  <c r="BL80" i="2"/>
  <c r="BN80" i="2" s="1"/>
  <c r="BL79" i="2"/>
  <c r="BL78" i="2" s="1"/>
  <c r="BL77" i="2" s="1"/>
  <c r="BL76" i="2" s="1"/>
  <c r="BL75" i="2" s="1"/>
  <c r="BL74" i="2" s="1"/>
  <c r="BL73" i="2" s="1"/>
  <c r="BL72" i="2" s="1"/>
  <c r="BL71" i="2" s="1"/>
  <c r="BL70" i="2" s="1"/>
  <c r="BL69" i="2" s="1"/>
  <c r="BL68" i="2" s="1"/>
  <c r="BL67" i="2" s="1"/>
  <c r="BL66" i="2" s="1"/>
  <c r="BL65" i="2" s="1"/>
  <c r="BL64" i="2" s="1"/>
  <c r="BL63" i="2" s="1"/>
  <c r="BL62" i="2" s="1"/>
  <c r="BL61" i="2" s="1"/>
  <c r="BL60" i="2" s="1"/>
  <c r="BL59" i="2" s="1"/>
  <c r="BL58" i="2" s="1"/>
  <c r="BL57" i="2" s="1"/>
  <c r="BL56" i="2" s="1"/>
  <c r="BL55" i="2" s="1"/>
  <c r="BL54" i="2" s="1"/>
  <c r="BL53" i="2" s="1"/>
  <c r="BL52" i="2" s="1"/>
  <c r="BL51" i="2" s="1"/>
  <c r="BL50" i="2" s="1"/>
  <c r="BL49" i="2" s="1"/>
  <c r="BL48" i="2" s="1"/>
  <c r="BL47" i="2" s="1"/>
  <c r="BL46" i="2" s="1"/>
  <c r="BL45" i="2" s="1"/>
  <c r="BL44" i="2" s="1"/>
  <c r="BL43" i="2" s="1"/>
  <c r="BL42" i="2" s="1"/>
  <c r="BL41" i="2" s="1"/>
  <c r="BL40" i="2" s="1"/>
  <c r="BL39" i="2" s="1"/>
  <c r="BL38" i="2" s="1"/>
  <c r="BL37" i="2" s="1"/>
  <c r="BL36" i="2" s="1"/>
  <c r="BL35" i="2" s="1"/>
  <c r="BL34" i="2" s="1"/>
  <c r="BL33" i="2" s="1"/>
  <c r="BL32" i="2" s="1"/>
  <c r="BL31" i="2" s="1"/>
  <c r="BL30" i="2" s="1"/>
  <c r="BL29" i="2" s="1"/>
  <c r="BL28" i="2" s="1"/>
  <c r="BL27" i="2" s="1"/>
  <c r="BL26" i="2" s="1"/>
  <c r="BL25" i="2" s="1"/>
  <c r="BL24" i="2" s="1"/>
  <c r="BL23" i="2" s="1"/>
  <c r="BL22" i="2" s="1"/>
  <c r="BL21" i="2" s="1"/>
  <c r="BL20" i="2" s="1"/>
  <c r="BL19" i="2" s="1"/>
  <c r="BL18" i="2" s="1"/>
  <c r="BL17" i="2" s="1"/>
  <c r="BL16" i="2" s="1"/>
  <c r="BL15" i="2" s="1"/>
  <c r="BL14" i="2" s="1"/>
  <c r="BL13" i="2" s="1"/>
  <c r="BL12" i="2" s="1"/>
  <c r="BL11" i="2" s="1"/>
  <c r="BL10" i="2" s="1"/>
  <c r="BL9" i="2" s="1"/>
  <c r="BN79" i="2"/>
  <c r="BI78" i="2"/>
  <c r="BJ78" i="2" s="1"/>
  <c r="BO79" i="2"/>
  <c r="BN81" i="2"/>
  <c r="BN82" i="2"/>
  <c r="BC83" i="2"/>
  <c r="BC84" i="2"/>
  <c r="AM16" i="2"/>
  <c r="AJ28" i="2"/>
  <c r="AJ29" i="2" s="1"/>
  <c r="AJ30" i="2" s="1"/>
  <c r="AJ31" i="2" s="1"/>
  <c r="AJ32" i="2" s="1"/>
  <c r="AJ33" i="2" s="1"/>
  <c r="AJ34" i="2" s="1"/>
  <c r="AJ35" i="2" s="1"/>
  <c r="AJ36" i="2" s="1"/>
  <c r="AR36" i="2" s="1"/>
  <c r="AR27" i="2"/>
  <c r="AR26" i="2"/>
  <c r="AM23" i="2"/>
  <c r="AR23" i="2"/>
  <c r="AM22" i="2"/>
  <c r="AR22" i="2"/>
  <c r="AM17" i="2"/>
  <c r="AR30" i="2"/>
  <c r="AR17" i="2"/>
  <c r="AR12" i="2"/>
  <c r="AM31" i="2"/>
  <c r="AM18" i="2"/>
  <c r="AM19" i="2"/>
  <c r="AM26" i="2"/>
  <c r="AM13" i="2"/>
  <c r="AM14" i="2"/>
  <c r="AR20" i="2"/>
  <c r="AM25" i="2"/>
  <c r="AM12" i="2"/>
  <c r="AR25" i="2"/>
  <c r="AR19" i="2"/>
  <c r="AR14" i="2"/>
  <c r="AM21" i="2"/>
  <c r="AR24" i="2"/>
  <c r="AR21" i="2"/>
  <c r="AM27" i="2"/>
  <c r="AM24" i="2"/>
  <c r="AR18" i="2"/>
  <c r="AR15" i="2"/>
  <c r="AR35" i="2"/>
  <c r="W11" i="2"/>
  <c r="AW83" i="2"/>
  <c r="AW82" i="2" s="1"/>
  <c r="AW81" i="2" s="1"/>
  <c r="AW80" i="2" s="1"/>
  <c r="AW79" i="2" s="1"/>
  <c r="AW78" i="2" s="1"/>
  <c r="AW77" i="2" s="1"/>
  <c r="AW76" i="2" s="1"/>
  <c r="AW75" i="2" s="1"/>
  <c r="AW74" i="2" s="1"/>
  <c r="AW73" i="2" s="1"/>
  <c r="AW72" i="2" s="1"/>
  <c r="AW71" i="2" s="1"/>
  <c r="AW70" i="2" s="1"/>
  <c r="AW69" i="2" s="1"/>
  <c r="AW68" i="2" s="1"/>
  <c r="AW67" i="2" s="1"/>
  <c r="AW66" i="2" s="1"/>
  <c r="AW65" i="2" s="1"/>
  <c r="AW64" i="2" s="1"/>
  <c r="AW63" i="2" s="1"/>
  <c r="AW62" i="2" s="1"/>
  <c r="AW61" i="2" s="1"/>
  <c r="AW60" i="2" s="1"/>
  <c r="AW59" i="2" s="1"/>
  <c r="AW58" i="2" s="1"/>
  <c r="AW57" i="2" s="1"/>
  <c r="AW56" i="2" s="1"/>
  <c r="AW55" i="2" s="1"/>
  <c r="AW54" i="2" s="1"/>
  <c r="AW53" i="2" s="1"/>
  <c r="AW52" i="2" s="1"/>
  <c r="AW51" i="2" s="1"/>
  <c r="AW50" i="2" s="1"/>
  <c r="AW49" i="2" s="1"/>
  <c r="AW48" i="2" s="1"/>
  <c r="AW47" i="2" s="1"/>
  <c r="AW46" i="2" s="1"/>
  <c r="AW45" i="2" s="1"/>
  <c r="AW44" i="2" s="1"/>
  <c r="AW43" i="2" s="1"/>
  <c r="AW42" i="2" s="1"/>
  <c r="AW41" i="2" s="1"/>
  <c r="AW40" i="2" s="1"/>
  <c r="AW39" i="2" s="1"/>
  <c r="AW38" i="2" s="1"/>
  <c r="AW37" i="2" s="1"/>
  <c r="AW36" i="2" s="1"/>
  <c r="AW35" i="2" s="1"/>
  <c r="AW34" i="2" s="1"/>
  <c r="AW33" i="2" s="1"/>
  <c r="AW32" i="2" s="1"/>
  <c r="AW31" i="2" s="1"/>
  <c r="AW30" i="2" s="1"/>
  <c r="AW29" i="2" s="1"/>
  <c r="AW28" i="2" s="1"/>
  <c r="AW27" i="2" s="1"/>
  <c r="AW26" i="2" s="1"/>
  <c r="AW25" i="2" s="1"/>
  <c r="AW24" i="2" s="1"/>
  <c r="AW23" i="2" s="1"/>
  <c r="AW22" i="2" s="1"/>
  <c r="AW21" i="2" s="1"/>
  <c r="AW20" i="2" s="1"/>
  <c r="AW19" i="2" s="1"/>
  <c r="AW18" i="2" s="1"/>
  <c r="AW17" i="2" s="1"/>
  <c r="AW16" i="2" s="1"/>
  <c r="AW15" i="2" s="1"/>
  <c r="AW14" i="2" s="1"/>
  <c r="AW13" i="2" s="1"/>
  <c r="AW12" i="2" s="1"/>
  <c r="AW11" i="2" s="1"/>
  <c r="AW10" i="2" s="1"/>
  <c r="AW9" i="2" s="1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R84" i="2"/>
  <c r="R83" i="2"/>
  <c r="R82" i="2"/>
  <c r="R81" i="2"/>
  <c r="J81" i="2" s="1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J61" i="2" s="1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Q11" i="2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Q9" i="2"/>
  <c r="P9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F9" i="2"/>
  <c r="F10" i="2"/>
  <c r="H54" i="2"/>
  <c r="H53" i="2"/>
  <c r="H52" i="2"/>
  <c r="H48" i="2"/>
  <c r="H46" i="2"/>
  <c r="H45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D10" i="2"/>
  <c r="G9" i="2"/>
  <c r="DE76" i="3" l="1"/>
  <c r="CY75" i="3"/>
  <c r="CZ76" i="3"/>
  <c r="DD77" i="3"/>
  <c r="BA11" i="3"/>
  <c r="CS78" i="3"/>
  <c r="CO77" i="3"/>
  <c r="CN73" i="3"/>
  <c r="CT74" i="3"/>
  <c r="CF77" i="3"/>
  <c r="CH78" i="3"/>
  <c r="CI74" i="3"/>
  <c r="CC73" i="3"/>
  <c r="CD75" i="3"/>
  <c r="N13" i="3"/>
  <c r="Q12" i="3"/>
  <c r="BU81" i="3"/>
  <c r="BW82" i="3"/>
  <c r="AU14" i="3"/>
  <c r="AR15" i="3"/>
  <c r="AK14" i="3"/>
  <c r="AH15" i="3"/>
  <c r="AA14" i="3"/>
  <c r="X15" i="3"/>
  <c r="BX78" i="3"/>
  <c r="BR77" i="3"/>
  <c r="BG78" i="3"/>
  <c r="BM79" i="3"/>
  <c r="BS79" i="3"/>
  <c r="BL81" i="3"/>
  <c r="BH80" i="3"/>
  <c r="G12" i="3"/>
  <c r="D13" i="3"/>
  <c r="CJ81" i="2"/>
  <c r="CO82" i="2"/>
  <c r="CT67" i="2"/>
  <c r="CU66" i="2"/>
  <c r="BA81" i="2"/>
  <c r="BC82" i="2"/>
  <c r="BD79" i="2"/>
  <c r="BD40" i="2"/>
  <c r="BD41" i="2"/>
  <c r="BD60" i="2"/>
  <c r="BD21" i="2"/>
  <c r="BD22" i="2"/>
  <c r="BD61" i="2"/>
  <c r="BD42" i="2"/>
  <c r="BD23" i="2"/>
  <c r="AR32" i="2"/>
  <c r="BD63" i="2"/>
  <c r="BD43" i="2"/>
  <c r="AY80" i="2"/>
  <c r="AY79" i="2" s="1"/>
  <c r="AY78" i="2" s="1"/>
  <c r="AY77" i="2" s="1"/>
  <c r="AY76" i="2" s="1"/>
  <c r="AY75" i="2" s="1"/>
  <c r="AY74" i="2" s="1"/>
  <c r="AY73" i="2" s="1"/>
  <c r="AY72" i="2" s="1"/>
  <c r="AY71" i="2" s="1"/>
  <c r="AY70" i="2" s="1"/>
  <c r="AY69" i="2" s="1"/>
  <c r="AY68" i="2" s="1"/>
  <c r="AY67" i="2" s="1"/>
  <c r="AY66" i="2" s="1"/>
  <c r="AY65" i="2" s="1"/>
  <c r="AY64" i="2" s="1"/>
  <c r="AY63" i="2" s="1"/>
  <c r="AY62" i="2" s="1"/>
  <c r="AY61" i="2" s="1"/>
  <c r="AY60" i="2" s="1"/>
  <c r="AY59" i="2" s="1"/>
  <c r="AY58" i="2" s="1"/>
  <c r="AY57" i="2" s="1"/>
  <c r="AY56" i="2" s="1"/>
  <c r="AY55" i="2" s="1"/>
  <c r="AY54" i="2" s="1"/>
  <c r="AY53" i="2" s="1"/>
  <c r="AY52" i="2" s="1"/>
  <c r="AY51" i="2" s="1"/>
  <c r="AY50" i="2" s="1"/>
  <c r="AY49" i="2" s="1"/>
  <c r="AY48" i="2" s="1"/>
  <c r="AY47" i="2" s="1"/>
  <c r="AY46" i="2" s="1"/>
  <c r="AY45" i="2" s="1"/>
  <c r="AY44" i="2" s="1"/>
  <c r="AY43" i="2" s="1"/>
  <c r="AY42" i="2" s="1"/>
  <c r="AY41" i="2" s="1"/>
  <c r="AY40" i="2" s="1"/>
  <c r="AY39" i="2" s="1"/>
  <c r="AY38" i="2" s="1"/>
  <c r="AY37" i="2" s="1"/>
  <c r="AY36" i="2" s="1"/>
  <c r="AY35" i="2" s="1"/>
  <c r="AY34" i="2" s="1"/>
  <c r="AY33" i="2" s="1"/>
  <c r="AY32" i="2" s="1"/>
  <c r="AY31" i="2" s="1"/>
  <c r="AY30" i="2" s="1"/>
  <c r="AY29" i="2" s="1"/>
  <c r="AY28" i="2" s="1"/>
  <c r="AY27" i="2" s="1"/>
  <c r="AY26" i="2" s="1"/>
  <c r="AY25" i="2" s="1"/>
  <c r="AY24" i="2" s="1"/>
  <c r="AY23" i="2" s="1"/>
  <c r="AY22" i="2" s="1"/>
  <c r="AY21" i="2" s="1"/>
  <c r="AY20" i="2" s="1"/>
  <c r="AY19" i="2" s="1"/>
  <c r="AY18" i="2" s="1"/>
  <c r="AY17" i="2" s="1"/>
  <c r="AY16" i="2" s="1"/>
  <c r="AY15" i="2" s="1"/>
  <c r="AY14" i="2" s="1"/>
  <c r="AY13" i="2" s="1"/>
  <c r="AY12" i="2" s="1"/>
  <c r="AY11" i="2" s="1"/>
  <c r="AY10" i="2" s="1"/>
  <c r="AY9" i="2" s="1"/>
  <c r="CD76" i="2"/>
  <c r="BD64" i="2"/>
  <c r="BD24" i="2"/>
  <c r="BD10" i="2"/>
  <c r="BD30" i="2"/>
  <c r="AM34" i="2"/>
  <c r="BD72" i="2"/>
  <c r="BD51" i="2"/>
  <c r="BD69" i="2"/>
  <c r="BD55" i="2"/>
  <c r="BD28" i="2"/>
  <c r="BD68" i="2"/>
  <c r="BD29" i="2"/>
  <c r="BD46" i="2"/>
  <c r="BD48" i="2"/>
  <c r="BD70" i="2"/>
  <c r="BD31" i="2"/>
  <c r="BD67" i="2"/>
  <c r="BD49" i="2"/>
  <c r="BD34" i="2"/>
  <c r="AR28" i="2"/>
  <c r="BD12" i="2"/>
  <c r="BD71" i="2"/>
  <c r="BD54" i="2"/>
  <c r="BD35" i="2"/>
  <c r="BD32" i="2"/>
  <c r="BD58" i="2"/>
  <c r="CD67" i="2"/>
  <c r="CD61" i="2"/>
  <c r="CD64" i="2"/>
  <c r="AM29" i="2"/>
  <c r="AM33" i="2"/>
  <c r="BD33" i="2"/>
  <c r="BD11" i="2"/>
  <c r="BD76" i="2"/>
  <c r="BD14" i="2"/>
  <c r="BD53" i="2"/>
  <c r="BD57" i="2"/>
  <c r="AM28" i="2"/>
  <c r="BD74" i="2"/>
  <c r="BD36" i="2"/>
  <c r="BD13" i="2"/>
  <c r="BD59" i="2"/>
  <c r="CD68" i="2"/>
  <c r="CD65" i="2"/>
  <c r="CD74" i="2"/>
  <c r="BD45" i="2"/>
  <c r="BD27" i="2"/>
  <c r="BD73" i="2"/>
  <c r="AR33" i="2"/>
  <c r="BD75" i="2"/>
  <c r="BD17" i="2"/>
  <c r="BD15" i="2"/>
  <c r="BD80" i="2"/>
  <c r="BD26" i="2"/>
  <c r="BD66" i="2"/>
  <c r="BD47" i="2"/>
  <c r="BD25" i="2"/>
  <c r="BD50" i="2"/>
  <c r="BD65" i="2"/>
  <c r="BD52" i="2"/>
  <c r="AM30" i="2"/>
  <c r="BD56" i="2"/>
  <c r="BD77" i="2"/>
  <c r="BD78" i="2"/>
  <c r="BD62" i="2"/>
  <c r="CE58" i="2"/>
  <c r="CD59" i="2"/>
  <c r="AR34" i="2"/>
  <c r="BD37" i="2"/>
  <c r="BD18" i="2"/>
  <c r="BD19" i="2"/>
  <c r="BD44" i="2"/>
  <c r="BD38" i="2"/>
  <c r="BD39" i="2"/>
  <c r="BD20" i="2"/>
  <c r="BD16" i="2"/>
  <c r="CD69" i="2"/>
  <c r="CD75" i="2"/>
  <c r="BT79" i="2"/>
  <c r="BY79" i="2" s="1"/>
  <c r="BN78" i="2"/>
  <c r="BI77" i="2"/>
  <c r="BO78" i="2"/>
  <c r="AM36" i="2"/>
  <c r="AJ37" i="2"/>
  <c r="AM32" i="2"/>
  <c r="AM35" i="2"/>
  <c r="AR31" i="2"/>
  <c r="AR29" i="2"/>
  <c r="J13" i="2"/>
  <c r="J12" i="2"/>
  <c r="J16" i="2"/>
  <c r="J34" i="2"/>
  <c r="J15" i="2"/>
  <c r="J66" i="2"/>
  <c r="J35" i="2"/>
  <c r="AE11" i="2"/>
  <c r="Z11" i="2"/>
  <c r="J72" i="2"/>
  <c r="J76" i="2"/>
  <c r="J17" i="2"/>
  <c r="J37" i="2"/>
  <c r="J77" i="2"/>
  <c r="J19" i="2"/>
  <c r="J18" i="2"/>
  <c r="J21" i="2"/>
  <c r="J22" i="2"/>
  <c r="J46" i="2"/>
  <c r="J63" i="2"/>
  <c r="J83" i="2"/>
  <c r="J36" i="2"/>
  <c r="J27" i="2"/>
  <c r="J28" i="2"/>
  <c r="J48" i="2"/>
  <c r="J25" i="2"/>
  <c r="J10" i="2"/>
  <c r="J82" i="2"/>
  <c r="J23" i="2"/>
  <c r="J11" i="2"/>
  <c r="J30" i="2"/>
  <c r="J70" i="2"/>
  <c r="J62" i="2"/>
  <c r="J26" i="2"/>
  <c r="J67" i="2"/>
  <c r="J29" i="2"/>
  <c r="J31" i="2"/>
  <c r="J71" i="2"/>
  <c r="J38" i="2"/>
  <c r="J20" i="2"/>
  <c r="J24" i="2"/>
  <c r="J39" i="2"/>
  <c r="J14" i="2"/>
  <c r="W12" i="2"/>
  <c r="J64" i="2"/>
  <c r="J84" i="2"/>
  <c r="J45" i="2"/>
  <c r="J65" i="2"/>
  <c r="J32" i="2"/>
  <c r="J73" i="2"/>
  <c r="J78" i="2"/>
  <c r="J68" i="2"/>
  <c r="J52" i="2"/>
  <c r="J53" i="2"/>
  <c r="J54" i="2"/>
  <c r="J59" i="2"/>
  <c r="J79" i="2"/>
  <c r="J69" i="2"/>
  <c r="J33" i="2"/>
  <c r="J74" i="2"/>
  <c r="J75" i="2"/>
  <c r="J40" i="2"/>
  <c r="J60" i="2"/>
  <c r="J80" i="2"/>
  <c r="R9" i="2"/>
  <c r="Q13" i="2"/>
  <c r="Q12" i="2"/>
  <c r="Q10" i="2"/>
  <c r="D11" i="2"/>
  <c r="G10" i="2"/>
  <c r="H42" i="2"/>
  <c r="J42" i="2" s="1"/>
  <c r="H49" i="2"/>
  <c r="J49" i="2" s="1"/>
  <c r="H50" i="2"/>
  <c r="J50" i="2" s="1"/>
  <c r="H43" i="2"/>
  <c r="J43" i="2" s="1"/>
  <c r="H47" i="2"/>
  <c r="J47" i="2" s="1"/>
  <c r="H55" i="2"/>
  <c r="J55" i="2" s="1"/>
  <c r="H41" i="2"/>
  <c r="J41" i="2" s="1"/>
  <c r="H44" i="2"/>
  <c r="J44" i="2" s="1"/>
  <c r="H9" i="2"/>
  <c r="H51" i="2"/>
  <c r="J51" i="2" s="1"/>
  <c r="H56" i="2"/>
  <c r="J56" i="2" s="1"/>
  <c r="H57" i="2"/>
  <c r="J57" i="2" s="1"/>
  <c r="H58" i="2"/>
  <c r="J58" i="2" s="1"/>
  <c r="AE36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O7" i="1"/>
  <c r="AO8" i="1"/>
  <c r="AQ7" i="1" s="1"/>
  <c r="AO9" i="1"/>
  <c r="AO10" i="1"/>
  <c r="AO11" i="1"/>
  <c r="AO12" i="1"/>
  <c r="AO13" i="1"/>
  <c r="AO14" i="1"/>
  <c r="AO15" i="1"/>
  <c r="AQ14" i="1" s="1"/>
  <c r="AO16" i="1"/>
  <c r="AQ15" i="1" s="1"/>
  <c r="AO17" i="1"/>
  <c r="AQ16" i="1" s="1"/>
  <c r="AO18" i="1"/>
  <c r="AO19" i="1"/>
  <c r="AO20" i="1"/>
  <c r="AO21" i="1"/>
  <c r="AO22" i="1"/>
  <c r="AQ21" i="1" s="1"/>
  <c r="AO23" i="1"/>
  <c r="AQ22" i="1" s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Q41" i="1" s="1"/>
  <c r="AO43" i="1"/>
  <c r="AQ42" i="1" s="1"/>
  <c r="AO44" i="1"/>
  <c r="AQ43" i="1" s="1"/>
  <c r="AO45" i="1"/>
  <c r="AQ44" i="1" s="1"/>
  <c r="AO46" i="1"/>
  <c r="AO47" i="1"/>
  <c r="AO48" i="1"/>
  <c r="AQ47" i="1" s="1"/>
  <c r="AO49" i="1"/>
  <c r="AO50" i="1"/>
  <c r="AQ49" i="1" s="1"/>
  <c r="AO51" i="1"/>
  <c r="AQ50" i="1" s="1"/>
  <c r="AO52" i="1"/>
  <c r="AQ51" i="1" s="1"/>
  <c r="AO53" i="1"/>
  <c r="AQ52" i="1" s="1"/>
  <c r="AO54" i="1"/>
  <c r="AO55" i="1"/>
  <c r="AO56" i="1"/>
  <c r="AQ55" i="1" s="1"/>
  <c r="AK56" i="1"/>
  <c r="AQ8" i="1"/>
  <c r="AQ9" i="1"/>
  <c r="AQ10" i="1"/>
  <c r="AQ11" i="1"/>
  <c r="AQ12" i="1"/>
  <c r="AQ31" i="1"/>
  <c r="AO57" i="1"/>
  <c r="AO58" i="1"/>
  <c r="AO59" i="1"/>
  <c r="AO60" i="1"/>
  <c r="AQ59" i="1" s="1"/>
  <c r="AO61" i="1"/>
  <c r="AO62" i="1"/>
  <c r="AO63" i="1"/>
  <c r="AQ62" i="1" s="1"/>
  <c r="AO64" i="1"/>
  <c r="AQ63" i="1" s="1"/>
  <c r="AO65" i="1"/>
  <c r="AO66" i="1"/>
  <c r="AQ65" i="1" s="1"/>
  <c r="AO67" i="1"/>
  <c r="AO68" i="1"/>
  <c r="AO69" i="1"/>
  <c r="AQ68" i="1" s="1"/>
  <c r="AO70" i="1"/>
  <c r="AQ69" i="1" s="1"/>
  <c r="AO71" i="1"/>
  <c r="AQ70" i="1" s="1"/>
  <c r="AO72" i="1"/>
  <c r="AO73" i="1"/>
  <c r="AO74" i="1"/>
  <c r="AO75" i="1"/>
  <c r="AO76" i="1"/>
  <c r="AO77" i="1"/>
  <c r="AQ76" i="1" s="1"/>
  <c r="AO78" i="1"/>
  <c r="AO79" i="1"/>
  <c r="AO80" i="1"/>
  <c r="AQ79" i="1" s="1"/>
  <c r="AO81" i="1"/>
  <c r="AO82" i="1"/>
  <c r="AK81" i="1"/>
  <c r="AQ82" i="1"/>
  <c r="AM82" i="1"/>
  <c r="AP7" i="1"/>
  <c r="AP8" i="1"/>
  <c r="AK82" i="1"/>
  <c r="AM81" i="1" s="1"/>
  <c r="AK57" i="1"/>
  <c r="AK58" i="1"/>
  <c r="AM57" i="1" s="1"/>
  <c r="AK59" i="1"/>
  <c r="AK60" i="1"/>
  <c r="AK61" i="1"/>
  <c r="AK62" i="1"/>
  <c r="AM61" i="1" s="1"/>
  <c r="AK63" i="1"/>
  <c r="AM62" i="1" s="1"/>
  <c r="AK64" i="1"/>
  <c r="AK65" i="1"/>
  <c r="AM64" i="1" s="1"/>
  <c r="AK66" i="1"/>
  <c r="AK67" i="1"/>
  <c r="AM66" i="1" s="1"/>
  <c r="AK68" i="1"/>
  <c r="AK69" i="1"/>
  <c r="AK70" i="1"/>
  <c r="AK71" i="1"/>
  <c r="AK72" i="1"/>
  <c r="AK73" i="1"/>
  <c r="AM72" i="1" s="1"/>
  <c r="AK74" i="1"/>
  <c r="AM73" i="1" s="1"/>
  <c r="AK75" i="1"/>
  <c r="AM74" i="1" s="1"/>
  <c r="AK76" i="1"/>
  <c r="AM75" i="1" s="1"/>
  <c r="AK77" i="1"/>
  <c r="AK78" i="1"/>
  <c r="AK79" i="1"/>
  <c r="AM78" i="1" s="1"/>
  <c r="AK80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57" i="1"/>
  <c r="W36" i="1"/>
  <c r="W37" i="1"/>
  <c r="W38" i="1"/>
  <c r="Y38" i="1" s="1"/>
  <c r="W39" i="1"/>
  <c r="W40" i="1"/>
  <c r="Y40" i="1" s="1"/>
  <c r="W41" i="1"/>
  <c r="W42" i="1"/>
  <c r="Y42" i="1" s="1"/>
  <c r="W43" i="1"/>
  <c r="Y43" i="1" s="1"/>
  <c r="W44" i="1"/>
  <c r="Y44" i="1" s="1"/>
  <c r="W45" i="1"/>
  <c r="W46" i="1"/>
  <c r="W47" i="1"/>
  <c r="W48" i="1"/>
  <c r="W49" i="1"/>
  <c r="W50" i="1"/>
  <c r="Y50" i="1" s="1"/>
  <c r="W51" i="1"/>
  <c r="Y51" i="1" s="1"/>
  <c r="W52" i="1"/>
  <c r="W53" i="1"/>
  <c r="W54" i="1"/>
  <c r="Y54" i="1" s="1"/>
  <c r="W55" i="1"/>
  <c r="W56" i="1"/>
  <c r="W35" i="1"/>
  <c r="Y35" i="1" s="1"/>
  <c r="V8" i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Y37" i="1"/>
  <c r="Y36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X7" i="1"/>
  <c r="Y7" i="1" s="1"/>
  <c r="AK8" i="1"/>
  <c r="AL8" i="1" s="1"/>
  <c r="AJ9" i="1"/>
  <c r="AJ10" i="1" s="1"/>
  <c r="AJ11" i="1" s="1"/>
  <c r="AK9" i="1"/>
  <c r="AK10" i="1"/>
  <c r="AM9" i="1" s="1"/>
  <c r="AK11" i="1"/>
  <c r="AK12" i="1"/>
  <c r="AK13" i="1"/>
  <c r="AM12" i="1" s="1"/>
  <c r="AK14" i="1"/>
  <c r="AM13" i="1" s="1"/>
  <c r="AK15" i="1"/>
  <c r="AM14" i="1" s="1"/>
  <c r="AK16" i="1"/>
  <c r="AM15" i="1" s="1"/>
  <c r="AK17" i="1"/>
  <c r="AM16" i="1" s="1"/>
  <c r="AK18" i="1"/>
  <c r="AK19" i="1"/>
  <c r="AM19" i="1"/>
  <c r="AK20" i="1"/>
  <c r="AK21" i="1"/>
  <c r="AM20" i="1" s="1"/>
  <c r="AK22" i="1"/>
  <c r="AM21" i="1" s="1"/>
  <c r="AK23" i="1"/>
  <c r="AM22" i="1" s="1"/>
  <c r="AK24" i="1"/>
  <c r="AM23" i="1" s="1"/>
  <c r="AK25" i="1"/>
  <c r="AK26" i="1"/>
  <c r="AM25" i="1" s="1"/>
  <c r="AK27" i="1"/>
  <c r="AM26" i="1" s="1"/>
  <c r="AK28" i="1"/>
  <c r="AK29" i="1"/>
  <c r="AM28" i="1" s="1"/>
  <c r="AK30" i="1"/>
  <c r="AM29" i="1" s="1"/>
  <c r="AK31" i="1"/>
  <c r="AM30" i="1" s="1"/>
  <c r="AK32" i="1"/>
  <c r="AM31" i="1" s="1"/>
  <c r="AK33" i="1"/>
  <c r="AM32" i="1" s="1"/>
  <c r="AK34" i="1"/>
  <c r="AK35" i="1"/>
  <c r="AM35" i="1"/>
  <c r="AK36" i="1"/>
  <c r="AK37" i="1"/>
  <c r="AK38" i="1"/>
  <c r="AM37" i="1" s="1"/>
  <c r="AK39" i="1"/>
  <c r="AK40" i="1"/>
  <c r="AM39" i="1" s="1"/>
  <c r="AK41" i="1"/>
  <c r="AM40" i="1" s="1"/>
  <c r="AK42" i="1"/>
  <c r="AM41" i="1" s="1"/>
  <c r="AK43" i="1"/>
  <c r="AM42" i="1" s="1"/>
  <c r="AK44" i="1"/>
  <c r="AK45" i="1"/>
  <c r="AM44" i="1" s="1"/>
  <c r="AK46" i="1"/>
  <c r="AM45" i="1" s="1"/>
  <c r="AK47" i="1"/>
  <c r="AK48" i="1"/>
  <c r="AM47" i="1" s="1"/>
  <c r="AK49" i="1"/>
  <c r="AM48" i="1" s="1"/>
  <c r="AK50" i="1"/>
  <c r="AK51" i="1"/>
  <c r="AK52" i="1"/>
  <c r="AM51" i="1" s="1"/>
  <c r="AK53" i="1"/>
  <c r="AM52" i="1" s="1"/>
  <c r="AK54" i="1"/>
  <c r="AM53" i="1" s="1"/>
  <c r="AK55" i="1"/>
  <c r="AG81" i="1"/>
  <c r="AG80" i="1" s="1"/>
  <c r="AG79" i="1" s="1"/>
  <c r="AG78" i="1" s="1"/>
  <c r="AG77" i="1" s="1"/>
  <c r="AG76" i="1" s="1"/>
  <c r="AG75" i="1" s="1"/>
  <c r="AG74" i="1" s="1"/>
  <c r="AG73" i="1" s="1"/>
  <c r="AG72" i="1" s="1"/>
  <c r="AG71" i="1" s="1"/>
  <c r="AG70" i="1" s="1"/>
  <c r="AG69" i="1" s="1"/>
  <c r="AG68" i="1" s="1"/>
  <c r="AG67" i="1" s="1"/>
  <c r="AG66" i="1" s="1"/>
  <c r="AG65" i="1" s="1"/>
  <c r="AG64" i="1" s="1"/>
  <c r="AG63" i="1" s="1"/>
  <c r="AG62" i="1" s="1"/>
  <c r="AG61" i="1" s="1"/>
  <c r="AG60" i="1" s="1"/>
  <c r="AG59" i="1" s="1"/>
  <c r="AG58" i="1" s="1"/>
  <c r="AG57" i="1" s="1"/>
  <c r="AG56" i="1" s="1"/>
  <c r="AG55" i="1" s="1"/>
  <c r="AG54" i="1" s="1"/>
  <c r="AG53" i="1" s="1"/>
  <c r="AG52" i="1" s="1"/>
  <c r="AG51" i="1" s="1"/>
  <c r="AG50" i="1" s="1"/>
  <c r="AG49" i="1" s="1"/>
  <c r="AG48" i="1" s="1"/>
  <c r="AG47" i="1" s="1"/>
  <c r="AG46" i="1" s="1"/>
  <c r="AG45" i="1" s="1"/>
  <c r="AG44" i="1" s="1"/>
  <c r="AG43" i="1" s="1"/>
  <c r="AG42" i="1" s="1"/>
  <c r="AG41" i="1" s="1"/>
  <c r="AG40" i="1" s="1"/>
  <c r="AG39" i="1" s="1"/>
  <c r="AG38" i="1" s="1"/>
  <c r="AG37" i="1" s="1"/>
  <c r="AG36" i="1" s="1"/>
  <c r="AG35" i="1" s="1"/>
  <c r="AG34" i="1" s="1"/>
  <c r="AG33" i="1" s="1"/>
  <c r="AG32" i="1" s="1"/>
  <c r="AG31" i="1" s="1"/>
  <c r="AG30" i="1" s="1"/>
  <c r="AG29" i="1" s="1"/>
  <c r="AG28" i="1" s="1"/>
  <c r="AG27" i="1" s="1"/>
  <c r="AG26" i="1" s="1"/>
  <c r="AG25" i="1" s="1"/>
  <c r="AG24" i="1" s="1"/>
  <c r="AG23" i="1" s="1"/>
  <c r="AG22" i="1" s="1"/>
  <c r="AG21" i="1" s="1"/>
  <c r="AG20" i="1" s="1"/>
  <c r="AG19" i="1" s="1"/>
  <c r="AG18" i="1" s="1"/>
  <c r="AG17" i="1" s="1"/>
  <c r="AG16" i="1" s="1"/>
  <c r="AG15" i="1" s="1"/>
  <c r="AG14" i="1" s="1"/>
  <c r="AG13" i="1" s="1"/>
  <c r="AG12" i="1" s="1"/>
  <c r="AG11" i="1" s="1"/>
  <c r="AG10" i="1" s="1"/>
  <c r="AG9" i="1" s="1"/>
  <c r="AG8" i="1" s="1"/>
  <c r="AG7" i="1" s="1"/>
  <c r="AK7" i="1"/>
  <c r="AL7" i="1" s="1"/>
  <c r="Q82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S79" i="1" s="1"/>
  <c r="Q80" i="1"/>
  <c r="Q81" i="1"/>
  <c r="Q57" i="1"/>
  <c r="Q37" i="1"/>
  <c r="Q38" i="1"/>
  <c r="S38" i="1" s="1"/>
  <c r="Q39" i="1"/>
  <c r="Q40" i="1"/>
  <c r="Q41" i="1"/>
  <c r="Q42" i="1"/>
  <c r="Q43" i="1"/>
  <c r="S43" i="1" s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P8" i="1"/>
  <c r="P9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R7" i="1"/>
  <c r="AA7" i="1" s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36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8" i="1"/>
  <c r="D8" i="1"/>
  <c r="D9" i="1" s="1"/>
  <c r="DD76" i="3" l="1"/>
  <c r="CZ75" i="3"/>
  <c r="CY74" i="3"/>
  <c r="DE75" i="3"/>
  <c r="BA12" i="3"/>
  <c r="CT73" i="3"/>
  <c r="CN72" i="3"/>
  <c r="CO76" i="3"/>
  <c r="CS77" i="3"/>
  <c r="CF76" i="3"/>
  <c r="CH77" i="3"/>
  <c r="CD74" i="3"/>
  <c r="CI73" i="3"/>
  <c r="CC72" i="3"/>
  <c r="N14" i="3"/>
  <c r="Q13" i="3"/>
  <c r="BU80" i="3"/>
  <c r="BW81" i="3"/>
  <c r="AU15" i="3"/>
  <c r="AR16" i="3"/>
  <c r="AH16" i="3"/>
  <c r="AK15" i="3"/>
  <c r="X16" i="3"/>
  <c r="AA15" i="3"/>
  <c r="BR76" i="3"/>
  <c r="BX77" i="3"/>
  <c r="BS78" i="3"/>
  <c r="BM78" i="3"/>
  <c r="BG77" i="3"/>
  <c r="G13" i="3"/>
  <c r="D14" i="3"/>
  <c r="BL80" i="3"/>
  <c r="BH79" i="3"/>
  <c r="CU65" i="2"/>
  <c r="CT66" i="2"/>
  <c r="CJ80" i="2"/>
  <c r="CO81" i="2"/>
  <c r="CE57" i="2"/>
  <c r="CD58" i="2"/>
  <c r="BC81" i="2"/>
  <c r="BA80" i="2"/>
  <c r="BT78" i="2"/>
  <c r="BY78" i="2" s="1"/>
  <c r="BO77" i="2"/>
  <c r="BI76" i="2"/>
  <c r="BJ77" i="2"/>
  <c r="AJ38" i="2"/>
  <c r="AM37" i="2"/>
  <c r="AR37" i="2"/>
  <c r="AE12" i="2"/>
  <c r="Z12" i="2"/>
  <c r="J9" i="2"/>
  <c r="W13" i="2"/>
  <c r="Q14" i="2"/>
  <c r="D12" i="2"/>
  <c r="G11" i="2"/>
  <c r="AM68" i="1"/>
  <c r="AM79" i="1"/>
  <c r="AM59" i="1"/>
  <c r="AQ13" i="1"/>
  <c r="AM55" i="1"/>
  <c r="AM80" i="1"/>
  <c r="AM56" i="1"/>
  <c r="AM71" i="1"/>
  <c r="AQ78" i="1"/>
  <c r="AQ58" i="1"/>
  <c r="AJ12" i="1"/>
  <c r="AJ13" i="1" s="1"/>
  <c r="AJ14" i="1" s="1"/>
  <c r="AJ15" i="1" s="1"/>
  <c r="AP15" i="1" s="1"/>
  <c r="AL11" i="1"/>
  <c r="S73" i="1"/>
  <c r="AE73" i="1" s="1"/>
  <c r="AM38" i="1"/>
  <c r="AM60" i="1"/>
  <c r="AQ40" i="1"/>
  <c r="S71" i="1"/>
  <c r="AE71" i="1" s="1"/>
  <c r="AM36" i="1"/>
  <c r="Y46" i="1"/>
  <c r="AM58" i="1"/>
  <c r="AE58" i="1" s="1"/>
  <c r="AQ18" i="1"/>
  <c r="S44" i="1"/>
  <c r="AE44" i="1" s="1"/>
  <c r="AM54" i="1"/>
  <c r="Y45" i="1"/>
  <c r="AQ37" i="1"/>
  <c r="AQ81" i="1"/>
  <c r="AQ61" i="1"/>
  <c r="AM10" i="1"/>
  <c r="AE10" i="1" s="1"/>
  <c r="S82" i="1"/>
  <c r="AM46" i="1"/>
  <c r="AM27" i="1"/>
  <c r="AQ64" i="1"/>
  <c r="AM43" i="1"/>
  <c r="AE43" i="1" s="1"/>
  <c r="AM24" i="1"/>
  <c r="AE24" i="1" s="1"/>
  <c r="AM8" i="1"/>
  <c r="AE8" i="1" s="1"/>
  <c r="AM65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AQ77" i="1"/>
  <c r="AQ80" i="1"/>
  <c r="AQ75" i="1"/>
  <c r="AQ74" i="1"/>
  <c r="AQ72" i="1"/>
  <c r="AQ36" i="1"/>
  <c r="AQ56" i="1"/>
  <c r="AQ71" i="1"/>
  <c r="AQ35" i="1"/>
  <c r="AP11" i="1"/>
  <c r="AQ34" i="1"/>
  <c r="AP10" i="1"/>
  <c r="AQ60" i="1"/>
  <c r="AM11" i="1"/>
  <c r="AE11" i="1" s="1"/>
  <c r="AQ57" i="1"/>
  <c r="AQ73" i="1"/>
  <c r="Y55" i="1"/>
  <c r="AM70" i="1"/>
  <c r="AQ32" i="1"/>
  <c r="AQ48" i="1"/>
  <c r="AP9" i="1"/>
  <c r="Y48" i="1"/>
  <c r="AQ20" i="1"/>
  <c r="AM77" i="1"/>
  <c r="S52" i="1"/>
  <c r="AE52" i="1" s="1"/>
  <c r="S58" i="1"/>
  <c r="AM50" i="1"/>
  <c r="AM34" i="1"/>
  <c r="AE34" i="1" s="1"/>
  <c r="AM18" i="1"/>
  <c r="AE18" i="1" s="1"/>
  <c r="AQ67" i="1"/>
  <c r="AQ30" i="1"/>
  <c r="AQ46" i="1"/>
  <c r="AQ53" i="1"/>
  <c r="S77" i="1"/>
  <c r="AM49" i="1"/>
  <c r="AM33" i="1"/>
  <c r="AE33" i="1" s="1"/>
  <c r="AM17" i="1"/>
  <c r="AE17" i="1" s="1"/>
  <c r="AM67" i="1"/>
  <c r="AE67" i="1" s="1"/>
  <c r="AQ66" i="1"/>
  <c r="AQ45" i="1"/>
  <c r="AQ23" i="1"/>
  <c r="AQ24" i="1"/>
  <c r="AQ25" i="1"/>
  <c r="AQ26" i="1"/>
  <c r="AQ27" i="1"/>
  <c r="AQ28" i="1"/>
  <c r="AQ29" i="1"/>
  <c r="AQ33" i="1"/>
  <c r="AQ17" i="1"/>
  <c r="AQ19" i="1"/>
  <c r="AQ39" i="1"/>
  <c r="AQ38" i="1"/>
  <c r="AQ54" i="1"/>
  <c r="AM63" i="1"/>
  <c r="AM76" i="1"/>
  <c r="AM69" i="1"/>
  <c r="Y57" i="1"/>
  <c r="Y52" i="1"/>
  <c r="Y39" i="1"/>
  <c r="Y47" i="1"/>
  <c r="Y56" i="1"/>
  <c r="S74" i="1"/>
  <c r="AE74" i="1" s="1"/>
  <c r="AM7" i="1"/>
  <c r="S72" i="1"/>
  <c r="AE72" i="1" s="1"/>
  <c r="X9" i="1"/>
  <c r="Y53" i="1"/>
  <c r="Y49" i="1"/>
  <c r="X8" i="1"/>
  <c r="Y41" i="1"/>
  <c r="AJ16" i="1"/>
  <c r="AJ17" i="1" s="1"/>
  <c r="AJ18" i="1" s="1"/>
  <c r="AJ19" i="1" s="1"/>
  <c r="AP19" i="1" s="1"/>
  <c r="AL15" i="1"/>
  <c r="AL14" i="1"/>
  <c r="AL10" i="1"/>
  <c r="AL13" i="1"/>
  <c r="AL9" i="1"/>
  <c r="AE28" i="1"/>
  <c r="S76" i="1"/>
  <c r="S63" i="1"/>
  <c r="AE20" i="1"/>
  <c r="AE32" i="1"/>
  <c r="S68" i="1"/>
  <c r="S67" i="1"/>
  <c r="S62" i="1"/>
  <c r="AE62" i="1"/>
  <c r="S48" i="1"/>
  <c r="AE48" i="1" s="1"/>
  <c r="S47" i="1"/>
  <c r="AE47" i="1" s="1"/>
  <c r="S42" i="1"/>
  <c r="AE42" i="1" s="1"/>
  <c r="AE31" i="1"/>
  <c r="AE29" i="1"/>
  <c r="AE13" i="1"/>
  <c r="S39" i="1"/>
  <c r="AE19" i="1"/>
  <c r="P10" i="1"/>
  <c r="R9" i="1"/>
  <c r="AA9" i="1" s="1"/>
  <c r="AE14" i="1"/>
  <c r="AE79" i="1"/>
  <c r="AE35" i="1"/>
  <c r="S57" i="1"/>
  <c r="S56" i="1"/>
  <c r="AE15" i="1"/>
  <c r="AE16" i="1"/>
  <c r="S53" i="1"/>
  <c r="AE53" i="1" s="1"/>
  <c r="AE25" i="1"/>
  <c r="S37" i="1"/>
  <c r="S36" i="1"/>
  <c r="AE22" i="1"/>
  <c r="AE23" i="1"/>
  <c r="S59" i="1"/>
  <c r="S65" i="1"/>
  <c r="S80" i="1"/>
  <c r="S60" i="1"/>
  <c r="S69" i="1"/>
  <c r="S7" i="1"/>
  <c r="AE26" i="1"/>
  <c r="AE60" i="1"/>
  <c r="S81" i="1"/>
  <c r="AE81" i="1" s="1"/>
  <c r="AD7" i="1"/>
  <c r="AE21" i="1"/>
  <c r="S49" i="1"/>
  <c r="S51" i="1"/>
  <c r="S45" i="1"/>
  <c r="AE45" i="1" s="1"/>
  <c r="S54" i="1"/>
  <c r="S78" i="1"/>
  <c r="AE78" i="1" s="1"/>
  <c r="AE12" i="1"/>
  <c r="S46" i="1"/>
  <c r="AE46" i="1" s="1"/>
  <c r="S55" i="1"/>
  <c r="S61" i="1"/>
  <c r="AE38" i="1"/>
  <c r="AE30" i="1"/>
  <c r="S40" i="1"/>
  <c r="AE40" i="1" s="1"/>
  <c r="AE9" i="1"/>
  <c r="AE27" i="1"/>
  <c r="AE57" i="1"/>
  <c r="S64" i="1"/>
  <c r="S70" i="1"/>
  <c r="S41" i="1"/>
  <c r="S50" i="1"/>
  <c r="S66" i="1"/>
  <c r="S75" i="1"/>
  <c r="R8" i="1"/>
  <c r="AD8" i="1" s="1"/>
  <c r="G38" i="1"/>
  <c r="G36" i="1"/>
  <c r="G39" i="1"/>
  <c r="G37" i="1"/>
  <c r="DE74" i="3" l="1"/>
  <c r="CY73" i="3"/>
  <c r="DD75" i="3"/>
  <c r="CZ74" i="3"/>
  <c r="BA13" i="3"/>
  <c r="CS76" i="3"/>
  <c r="CO75" i="3"/>
  <c r="CN71" i="3"/>
  <c r="CT72" i="3"/>
  <c r="CF75" i="3"/>
  <c r="CH76" i="3"/>
  <c r="CC71" i="3"/>
  <c r="CI72" i="3"/>
  <c r="CD73" i="3"/>
  <c r="Q14" i="3"/>
  <c r="N15" i="3"/>
  <c r="BU79" i="3"/>
  <c r="BW80" i="3"/>
  <c r="AR17" i="3"/>
  <c r="AU16" i="3"/>
  <c r="AH17" i="3"/>
  <c r="AK16" i="3"/>
  <c r="X17" i="3"/>
  <c r="AA16" i="3"/>
  <c r="BM77" i="3"/>
  <c r="BG76" i="3"/>
  <c r="BS77" i="3"/>
  <c r="BR75" i="3"/>
  <c r="BX76" i="3"/>
  <c r="BL79" i="3"/>
  <c r="BH78" i="3"/>
  <c r="G14" i="3"/>
  <c r="D15" i="3"/>
  <c r="CU64" i="2"/>
  <c r="CT65" i="2"/>
  <c r="CJ79" i="2"/>
  <c r="CO80" i="2"/>
  <c r="BA79" i="2"/>
  <c r="BC80" i="2"/>
  <c r="CE56" i="2"/>
  <c r="CD57" i="2"/>
  <c r="BT77" i="2"/>
  <c r="BY77" i="2" s="1"/>
  <c r="BN77" i="2"/>
  <c r="BJ76" i="2"/>
  <c r="BI75" i="2"/>
  <c r="BO76" i="2"/>
  <c r="AJ39" i="2"/>
  <c r="AR38" i="2"/>
  <c r="AM38" i="2"/>
  <c r="Z13" i="2"/>
  <c r="AE13" i="2"/>
  <c r="W14" i="2"/>
  <c r="Q15" i="2"/>
  <c r="G12" i="2"/>
  <c r="D13" i="2"/>
  <c r="AL12" i="1"/>
  <c r="AE65" i="1"/>
  <c r="AP18" i="1"/>
  <c r="AP14" i="1"/>
  <c r="AP12" i="1"/>
  <c r="AE77" i="1"/>
  <c r="AP13" i="1"/>
  <c r="AE7" i="1"/>
  <c r="AE54" i="1"/>
  <c r="AP16" i="1"/>
  <c r="AA8" i="1"/>
  <c r="AP17" i="1"/>
  <c r="AE63" i="1"/>
  <c r="AE50" i="1"/>
  <c r="AE76" i="1"/>
  <c r="X10" i="1"/>
  <c r="AL16" i="1"/>
  <c r="AJ20" i="1"/>
  <c r="AP20" i="1" s="1"/>
  <c r="AL19" i="1"/>
  <c r="AL17" i="1"/>
  <c r="AL18" i="1"/>
  <c r="AE68" i="1"/>
  <c r="AE64" i="1"/>
  <c r="AE56" i="1"/>
  <c r="AE59" i="1"/>
  <c r="AE70" i="1"/>
  <c r="AE55" i="1"/>
  <c r="AE75" i="1"/>
  <c r="AE61" i="1"/>
  <c r="AE51" i="1"/>
  <c r="AE37" i="1"/>
  <c r="AE41" i="1"/>
  <c r="AE69" i="1"/>
  <c r="R10" i="1"/>
  <c r="AD10" i="1" s="1"/>
  <c r="P11" i="1"/>
  <c r="AE49" i="1"/>
  <c r="AE80" i="1"/>
  <c r="AD9" i="1"/>
  <c r="AE66" i="1"/>
  <c r="AE39" i="1"/>
  <c r="G40" i="1"/>
  <c r="DD74" i="3" l="1"/>
  <c r="CZ73" i="3"/>
  <c r="DE73" i="3"/>
  <c r="CY72" i="3"/>
  <c r="CN70" i="3"/>
  <c r="CT71" i="3"/>
  <c r="CO74" i="3"/>
  <c r="CS75" i="3"/>
  <c r="CF74" i="3"/>
  <c r="CH75" i="3"/>
  <c r="CD72" i="3"/>
  <c r="CI71" i="3"/>
  <c r="CC70" i="3"/>
  <c r="N16" i="3"/>
  <c r="Q15" i="3"/>
  <c r="BA14" i="3"/>
  <c r="BU78" i="3"/>
  <c r="BW79" i="3"/>
  <c r="AU17" i="3"/>
  <c r="AR18" i="3"/>
  <c r="AK17" i="3"/>
  <c r="AH18" i="3"/>
  <c r="AA17" i="3"/>
  <c r="X18" i="3"/>
  <c r="D16" i="3"/>
  <c r="G15" i="3"/>
  <c r="BL78" i="3"/>
  <c r="BH77" i="3"/>
  <c r="BX75" i="3"/>
  <c r="BR74" i="3"/>
  <c r="BS76" i="3"/>
  <c r="BM76" i="3"/>
  <c r="BG75" i="3"/>
  <c r="CJ78" i="2"/>
  <c r="CO79" i="2"/>
  <c r="CU63" i="2"/>
  <c r="CT64" i="2"/>
  <c r="BA78" i="2"/>
  <c r="BC79" i="2"/>
  <c r="CE55" i="2"/>
  <c r="CD56" i="2"/>
  <c r="BT76" i="2"/>
  <c r="BY76" i="2" s="1"/>
  <c r="BI74" i="2"/>
  <c r="BO75" i="2"/>
  <c r="BJ75" i="2"/>
  <c r="BN76" i="2"/>
  <c r="AJ40" i="2"/>
  <c r="AR39" i="2"/>
  <c r="AM39" i="2"/>
  <c r="AE14" i="2"/>
  <c r="Z14" i="2"/>
  <c r="W15" i="2"/>
  <c r="Q16" i="2"/>
  <c r="D14" i="2"/>
  <c r="G13" i="2"/>
  <c r="X11" i="1"/>
  <c r="AJ21" i="1"/>
  <c r="AP21" i="1" s="1"/>
  <c r="AL20" i="1"/>
  <c r="AA10" i="1"/>
  <c r="R11" i="1"/>
  <c r="AD11" i="1" s="1"/>
  <c r="P12" i="1"/>
  <c r="AA11" i="1"/>
  <c r="G41" i="1"/>
  <c r="F7" i="1"/>
  <c r="F8" i="1"/>
  <c r="H8" i="1" s="1"/>
  <c r="DE72" i="3" l="1"/>
  <c r="CY71" i="3"/>
  <c r="DD73" i="3"/>
  <c r="CZ72" i="3"/>
  <c r="BA15" i="3"/>
  <c r="CO73" i="3"/>
  <c r="CS74" i="3"/>
  <c r="CN69" i="3"/>
  <c r="CT70" i="3"/>
  <c r="CF73" i="3"/>
  <c r="CH74" i="3"/>
  <c r="CC69" i="3"/>
  <c r="CI70" i="3"/>
  <c r="CD71" i="3"/>
  <c r="Q16" i="3"/>
  <c r="N17" i="3"/>
  <c r="BU77" i="3"/>
  <c r="BW78" i="3"/>
  <c r="AU18" i="3"/>
  <c r="AR19" i="3"/>
  <c r="AH19" i="3"/>
  <c r="AK18" i="3"/>
  <c r="AA18" i="3"/>
  <c r="X19" i="3"/>
  <c r="BX74" i="3"/>
  <c r="BR73" i="3"/>
  <c r="BL77" i="3"/>
  <c r="BH76" i="3"/>
  <c r="G16" i="3"/>
  <c r="D17" i="3"/>
  <c r="BM75" i="3"/>
  <c r="BG74" i="3"/>
  <c r="BS75" i="3"/>
  <c r="CJ77" i="2"/>
  <c r="CO78" i="2"/>
  <c r="CU62" i="2"/>
  <c r="CT63" i="2"/>
  <c r="BA77" i="2"/>
  <c r="BC78" i="2"/>
  <c r="CE54" i="2"/>
  <c r="CD55" i="2"/>
  <c r="BT75" i="2"/>
  <c r="BY75" i="2" s="1"/>
  <c r="BJ74" i="2"/>
  <c r="BN75" i="2"/>
  <c r="BO74" i="2"/>
  <c r="BI73" i="2"/>
  <c r="AJ41" i="2"/>
  <c r="AR40" i="2"/>
  <c r="AM40" i="2"/>
  <c r="AE15" i="2"/>
  <c r="Z15" i="2"/>
  <c r="W16" i="2"/>
  <c r="Q17" i="2"/>
  <c r="D15" i="2"/>
  <c r="G14" i="2"/>
  <c r="X12" i="1"/>
  <c r="AJ22" i="1"/>
  <c r="AP22" i="1" s="1"/>
  <c r="AL21" i="1"/>
  <c r="P13" i="1"/>
  <c r="R12" i="1"/>
  <c r="AD12" i="1" s="1"/>
  <c r="G42" i="1"/>
  <c r="G7" i="1"/>
  <c r="H7" i="1"/>
  <c r="F9" i="1"/>
  <c r="H9" i="1" s="1"/>
  <c r="CZ71" i="3" l="1"/>
  <c r="DD72" i="3"/>
  <c r="CY70" i="3"/>
  <c r="DE71" i="3"/>
  <c r="BA16" i="3"/>
  <c r="CT69" i="3"/>
  <c r="CN68" i="3"/>
  <c r="CS73" i="3"/>
  <c r="CO72" i="3"/>
  <c r="CF72" i="3"/>
  <c r="CH73" i="3"/>
  <c r="CD70" i="3"/>
  <c r="CC68" i="3"/>
  <c r="CI69" i="3"/>
  <c r="Q17" i="3"/>
  <c r="N18" i="3"/>
  <c r="BU76" i="3"/>
  <c r="BW77" i="3"/>
  <c r="AU19" i="3"/>
  <c r="AR20" i="3"/>
  <c r="AH20" i="3"/>
  <c r="AK19" i="3"/>
  <c r="AA19" i="3"/>
  <c r="X20" i="3"/>
  <c r="BG73" i="3"/>
  <c r="BM74" i="3"/>
  <c r="D18" i="3"/>
  <c r="G17" i="3"/>
  <c r="BR72" i="3"/>
  <c r="BX73" i="3"/>
  <c r="BH75" i="3"/>
  <c r="BL76" i="3"/>
  <c r="BS74" i="3"/>
  <c r="CJ76" i="2"/>
  <c r="CO77" i="2"/>
  <c r="CU61" i="2"/>
  <c r="CT62" i="2"/>
  <c r="CE53" i="2"/>
  <c r="CD54" i="2"/>
  <c r="BA76" i="2"/>
  <c r="BC77" i="2"/>
  <c r="BT74" i="2"/>
  <c r="BY74" i="2" s="1"/>
  <c r="BI72" i="2"/>
  <c r="BO73" i="2"/>
  <c r="BN74" i="2"/>
  <c r="BJ73" i="2"/>
  <c r="AJ42" i="2"/>
  <c r="AM41" i="2"/>
  <c r="AR41" i="2"/>
  <c r="AE16" i="2"/>
  <c r="Z16" i="2"/>
  <c r="W17" i="2"/>
  <c r="Q18" i="2"/>
  <c r="D16" i="2"/>
  <c r="G15" i="2"/>
  <c r="X13" i="1"/>
  <c r="AJ23" i="1"/>
  <c r="AP23" i="1" s="1"/>
  <c r="AL22" i="1"/>
  <c r="AA12" i="1"/>
  <c r="R13" i="1"/>
  <c r="AD13" i="1" s="1"/>
  <c r="P14" i="1"/>
  <c r="G43" i="1"/>
  <c r="F10" i="1"/>
  <c r="H10" i="1" s="1"/>
  <c r="CY69" i="3" l="1"/>
  <c r="DE70" i="3"/>
  <c r="DD71" i="3"/>
  <c r="CZ70" i="3"/>
  <c r="BA17" i="3"/>
  <c r="CO71" i="3"/>
  <c r="CS72" i="3"/>
  <c r="CT68" i="3"/>
  <c r="CN67" i="3"/>
  <c r="CF71" i="3"/>
  <c r="CH72" i="3"/>
  <c r="CI68" i="3"/>
  <c r="CC67" i="3"/>
  <c r="CD69" i="3"/>
  <c r="N19" i="3"/>
  <c r="Q18" i="3"/>
  <c r="BU75" i="3"/>
  <c r="BW76" i="3"/>
  <c r="AR21" i="3"/>
  <c r="AU20" i="3"/>
  <c r="AH21" i="3"/>
  <c r="AK20" i="3"/>
  <c r="X21" i="3"/>
  <c r="AA20" i="3"/>
  <c r="BL75" i="3"/>
  <c r="BH74" i="3"/>
  <c r="BR71" i="3"/>
  <c r="BX72" i="3"/>
  <c r="D19" i="3"/>
  <c r="G18" i="3"/>
  <c r="BS73" i="3"/>
  <c r="BM73" i="3"/>
  <c r="BG72" i="3"/>
  <c r="CU60" i="2"/>
  <c r="CT61" i="2"/>
  <c r="CO76" i="2"/>
  <c r="CJ75" i="2"/>
  <c r="BA75" i="2"/>
  <c r="BC76" i="2"/>
  <c r="CE52" i="2"/>
  <c r="CD53" i="2"/>
  <c r="BT73" i="2"/>
  <c r="BY73" i="2" s="1"/>
  <c r="BJ72" i="2"/>
  <c r="BN73" i="2"/>
  <c r="BO72" i="2"/>
  <c r="BI71" i="2"/>
  <c r="AJ43" i="2"/>
  <c r="AM42" i="2"/>
  <c r="AR42" i="2"/>
  <c r="AE17" i="2"/>
  <c r="Z17" i="2"/>
  <c r="W18" i="2"/>
  <c r="Q19" i="2"/>
  <c r="G16" i="2"/>
  <c r="D17" i="2"/>
  <c r="X14" i="1"/>
  <c r="AJ24" i="1"/>
  <c r="AP24" i="1" s="1"/>
  <c r="AL23" i="1"/>
  <c r="R14" i="1"/>
  <c r="AD14" i="1" s="1"/>
  <c r="P15" i="1"/>
  <c r="AA14" i="1"/>
  <c r="AA13" i="1"/>
  <c r="G44" i="1"/>
  <c r="F11" i="1"/>
  <c r="H11" i="1" s="1"/>
  <c r="DE69" i="3" l="1"/>
  <c r="CY68" i="3"/>
  <c r="DD70" i="3"/>
  <c r="CZ69" i="3"/>
  <c r="BA18" i="3"/>
  <c r="CN66" i="3"/>
  <c r="CT67" i="3"/>
  <c r="CS71" i="3"/>
  <c r="CO70" i="3"/>
  <c r="CF70" i="3"/>
  <c r="CH71" i="3"/>
  <c r="CD68" i="3"/>
  <c r="CC66" i="3"/>
  <c r="CI67" i="3"/>
  <c r="N20" i="3"/>
  <c r="Q19" i="3"/>
  <c r="BU74" i="3"/>
  <c r="BW75" i="3"/>
  <c r="AR22" i="3"/>
  <c r="AU21" i="3"/>
  <c r="AH22" i="3"/>
  <c r="AK21" i="3"/>
  <c r="X22" i="3"/>
  <c r="AA21" i="3"/>
  <c r="BS72" i="3"/>
  <c r="G19" i="3"/>
  <c r="BA19" i="3" s="1"/>
  <c r="D20" i="3"/>
  <c r="BX71" i="3"/>
  <c r="BR70" i="3"/>
  <c r="BM72" i="3"/>
  <c r="BG71" i="3"/>
  <c r="BL74" i="3"/>
  <c r="BH73" i="3"/>
  <c r="CJ74" i="2"/>
  <c r="CO75" i="2"/>
  <c r="CU59" i="2"/>
  <c r="CT60" i="2"/>
  <c r="CE51" i="2"/>
  <c r="CD52" i="2"/>
  <c r="BC75" i="2"/>
  <c r="BA74" i="2"/>
  <c r="BT72" i="2"/>
  <c r="BY72" i="2" s="1"/>
  <c r="BO71" i="2"/>
  <c r="BI70" i="2"/>
  <c r="BN72" i="2"/>
  <c r="BJ71" i="2"/>
  <c r="AJ44" i="2"/>
  <c r="AR43" i="2"/>
  <c r="AM43" i="2"/>
  <c r="AE18" i="2"/>
  <c r="Z18" i="2"/>
  <c r="W19" i="2"/>
  <c r="Q20" i="2"/>
  <c r="G17" i="2"/>
  <c r="D18" i="2"/>
  <c r="X15" i="1"/>
  <c r="AJ25" i="1"/>
  <c r="AP25" i="1" s="1"/>
  <c r="AL24" i="1"/>
  <c r="R15" i="1"/>
  <c r="AD15" i="1" s="1"/>
  <c r="P16" i="1"/>
  <c r="G45" i="1"/>
  <c r="F12" i="1"/>
  <c r="H12" i="1" s="1"/>
  <c r="DD69" i="3" l="1"/>
  <c r="CZ68" i="3"/>
  <c r="DE68" i="3"/>
  <c r="CY67" i="3"/>
  <c r="CO69" i="3"/>
  <c r="CS70" i="3"/>
  <c r="CT66" i="3"/>
  <c r="CN65" i="3"/>
  <c r="CF69" i="3"/>
  <c r="CH70" i="3"/>
  <c r="CC65" i="3"/>
  <c r="CI66" i="3"/>
  <c r="CD67" i="3"/>
  <c r="N21" i="3"/>
  <c r="Q20" i="3"/>
  <c r="BU73" i="3"/>
  <c r="BW74" i="3"/>
  <c r="AU22" i="3"/>
  <c r="AR23" i="3"/>
  <c r="AH23" i="3"/>
  <c r="AK22" i="3"/>
  <c r="AA22" i="3"/>
  <c r="X23" i="3"/>
  <c r="BR69" i="3"/>
  <c r="BX70" i="3"/>
  <c r="D21" i="3"/>
  <c r="G20" i="3"/>
  <c r="BL73" i="3"/>
  <c r="BH72" i="3"/>
  <c r="BG70" i="3"/>
  <c r="BM71" i="3"/>
  <c r="BS71" i="3"/>
  <c r="CU58" i="2"/>
  <c r="CT59" i="2"/>
  <c r="CO74" i="2"/>
  <c r="CJ73" i="2"/>
  <c r="BA73" i="2"/>
  <c r="BC74" i="2"/>
  <c r="CE50" i="2"/>
  <c r="CD51" i="2"/>
  <c r="BT71" i="2"/>
  <c r="BY71" i="2" s="1"/>
  <c r="BN71" i="2"/>
  <c r="BJ70" i="2"/>
  <c r="BI69" i="2"/>
  <c r="BO70" i="2"/>
  <c r="AJ45" i="2"/>
  <c r="AM44" i="2"/>
  <c r="AR44" i="2"/>
  <c r="AE19" i="2"/>
  <c r="Z19" i="2"/>
  <c r="W20" i="2"/>
  <c r="Q21" i="2"/>
  <c r="D19" i="2"/>
  <c r="G18" i="2"/>
  <c r="X16" i="1"/>
  <c r="AJ26" i="1"/>
  <c r="AP26" i="1" s="1"/>
  <c r="AL25" i="1"/>
  <c r="P17" i="1"/>
  <c r="R16" i="1"/>
  <c r="AD16" i="1" s="1"/>
  <c r="AA15" i="1"/>
  <c r="G46" i="1"/>
  <c r="F13" i="1"/>
  <c r="H13" i="1" s="1"/>
  <c r="CY66" i="3" l="1"/>
  <c r="DE67" i="3"/>
  <c r="CZ67" i="3"/>
  <c r="DD68" i="3"/>
  <c r="BA20" i="3"/>
  <c r="CN64" i="3"/>
  <c r="CT65" i="3"/>
  <c r="CS69" i="3"/>
  <c r="CO68" i="3"/>
  <c r="CF68" i="3"/>
  <c r="CH69" i="3"/>
  <c r="CD66" i="3"/>
  <c r="CI65" i="3"/>
  <c r="CC64" i="3"/>
  <c r="Q21" i="3"/>
  <c r="N22" i="3"/>
  <c r="BU72" i="3"/>
  <c r="BW73" i="3"/>
  <c r="AR24" i="3"/>
  <c r="AU23" i="3"/>
  <c r="AH24" i="3"/>
  <c r="AK23" i="3"/>
  <c r="X24" i="3"/>
  <c r="AA23" i="3"/>
  <c r="BL72" i="3"/>
  <c r="BH71" i="3"/>
  <c r="BS70" i="3"/>
  <c r="BG69" i="3"/>
  <c r="BM70" i="3"/>
  <c r="D22" i="3"/>
  <c r="G21" i="3"/>
  <c r="BR68" i="3"/>
  <c r="BX69" i="3"/>
  <c r="CJ72" i="2"/>
  <c r="CO73" i="2"/>
  <c r="CU57" i="2"/>
  <c r="CT58" i="2"/>
  <c r="CE49" i="2"/>
  <c r="CD50" i="2"/>
  <c r="BA72" i="2"/>
  <c r="BC73" i="2"/>
  <c r="BT70" i="2"/>
  <c r="BY70" i="2" s="1"/>
  <c r="BJ69" i="2"/>
  <c r="BN70" i="2"/>
  <c r="BO69" i="2"/>
  <c r="BI68" i="2"/>
  <c r="AJ46" i="2"/>
  <c r="AM45" i="2"/>
  <c r="AR45" i="2"/>
  <c r="Z20" i="2"/>
  <c r="AE20" i="2"/>
  <c r="W21" i="2"/>
  <c r="Q22" i="2"/>
  <c r="D20" i="2"/>
  <c r="G19" i="2"/>
  <c r="AA16" i="1"/>
  <c r="X17" i="1"/>
  <c r="AJ27" i="1"/>
  <c r="AP27" i="1" s="1"/>
  <c r="AL26" i="1"/>
  <c r="R17" i="1"/>
  <c r="AD17" i="1" s="1"/>
  <c r="P18" i="1"/>
  <c r="G47" i="1"/>
  <c r="F14" i="1"/>
  <c r="H14" i="1" s="1"/>
  <c r="DE66" i="3" l="1"/>
  <c r="CY65" i="3"/>
  <c r="CZ66" i="3"/>
  <c r="DD67" i="3"/>
  <c r="BA21" i="3"/>
  <c r="CS68" i="3"/>
  <c r="CO67" i="3"/>
  <c r="CN63" i="3"/>
  <c r="CT64" i="3"/>
  <c r="CF67" i="3"/>
  <c r="CH68" i="3"/>
  <c r="CI64" i="3"/>
  <c r="CC63" i="3"/>
  <c r="CD65" i="3"/>
  <c r="N23" i="3"/>
  <c r="Q22" i="3"/>
  <c r="BU71" i="3"/>
  <c r="BW72" i="3"/>
  <c r="AU24" i="3"/>
  <c r="AR25" i="3"/>
  <c r="AK24" i="3"/>
  <c r="AH25" i="3"/>
  <c r="AA24" i="3"/>
  <c r="X25" i="3"/>
  <c r="BG68" i="3"/>
  <c r="BM69" i="3"/>
  <c r="BS69" i="3"/>
  <c r="BX68" i="3"/>
  <c r="BR67" i="3"/>
  <c r="BL71" i="3"/>
  <c r="BH70" i="3"/>
  <c r="D23" i="3"/>
  <c r="G22" i="3"/>
  <c r="CU56" i="2"/>
  <c r="CT57" i="2"/>
  <c r="CO72" i="2"/>
  <c r="CJ71" i="2"/>
  <c r="CE48" i="2"/>
  <c r="CD49" i="2"/>
  <c r="BA71" i="2"/>
  <c r="BC72" i="2"/>
  <c r="BT69" i="2"/>
  <c r="BY69" i="2" s="1"/>
  <c r="BO68" i="2"/>
  <c r="BI67" i="2"/>
  <c r="BN69" i="2"/>
  <c r="BJ68" i="2"/>
  <c r="AJ47" i="2"/>
  <c r="AR46" i="2"/>
  <c r="AM46" i="2"/>
  <c r="Z21" i="2"/>
  <c r="AE21" i="2"/>
  <c r="W22" i="2"/>
  <c r="Q23" i="2"/>
  <c r="G20" i="2"/>
  <c r="D21" i="2"/>
  <c r="X18" i="1"/>
  <c r="AJ28" i="1"/>
  <c r="AP28" i="1" s="1"/>
  <c r="AL27" i="1"/>
  <c r="P19" i="1"/>
  <c r="R18" i="1"/>
  <c r="AD18" i="1" s="1"/>
  <c r="AA17" i="1"/>
  <c r="G48" i="1"/>
  <c r="F15" i="1"/>
  <c r="H15" i="1" s="1"/>
  <c r="DD66" i="3" l="1"/>
  <c r="CZ65" i="3"/>
  <c r="CY64" i="3"/>
  <c r="DE65" i="3"/>
  <c r="BA22" i="3"/>
  <c r="CT63" i="3"/>
  <c r="CN62" i="3"/>
  <c r="CO66" i="3"/>
  <c r="CS67" i="3"/>
  <c r="CF66" i="3"/>
  <c r="CH67" i="3"/>
  <c r="CD64" i="3"/>
  <c r="CI63" i="3"/>
  <c r="CC62" i="3"/>
  <c r="Q23" i="3"/>
  <c r="N24" i="3"/>
  <c r="BU70" i="3"/>
  <c r="BW71" i="3"/>
  <c r="AU25" i="3"/>
  <c r="AR26" i="3"/>
  <c r="AH26" i="3"/>
  <c r="AK25" i="3"/>
  <c r="X26" i="3"/>
  <c r="AA25" i="3"/>
  <c r="BR66" i="3"/>
  <c r="BX67" i="3"/>
  <c r="BH69" i="3"/>
  <c r="BL70" i="3"/>
  <c r="G23" i="3"/>
  <c r="D24" i="3"/>
  <c r="BS68" i="3"/>
  <c r="BM68" i="3"/>
  <c r="BG67" i="3"/>
  <c r="CJ70" i="2"/>
  <c r="CO71" i="2"/>
  <c r="CU55" i="2"/>
  <c r="CT56" i="2"/>
  <c r="BA70" i="2"/>
  <c r="BC71" i="2"/>
  <c r="CE47" i="2"/>
  <c r="CD48" i="2"/>
  <c r="BT68" i="2"/>
  <c r="BY68" i="2" s="1"/>
  <c r="BN68" i="2"/>
  <c r="BJ67" i="2"/>
  <c r="BI66" i="2"/>
  <c r="BO67" i="2"/>
  <c r="AJ48" i="2"/>
  <c r="AR47" i="2"/>
  <c r="AM47" i="2"/>
  <c r="Z22" i="2"/>
  <c r="AE22" i="2"/>
  <c r="W23" i="2"/>
  <c r="Q24" i="2"/>
  <c r="G21" i="2"/>
  <c r="D22" i="2"/>
  <c r="X19" i="1"/>
  <c r="AJ29" i="1"/>
  <c r="AP29" i="1" s="1"/>
  <c r="AL28" i="1"/>
  <c r="AA18" i="1"/>
  <c r="R19" i="1"/>
  <c r="AD19" i="1" s="1"/>
  <c r="P20" i="1"/>
  <c r="AA19" i="1"/>
  <c r="G49" i="1"/>
  <c r="F16" i="1"/>
  <c r="H16" i="1" s="1"/>
  <c r="CY63" i="3" l="1"/>
  <c r="DE64" i="3"/>
  <c r="DD65" i="3"/>
  <c r="CZ64" i="3"/>
  <c r="BA23" i="3"/>
  <c r="CS66" i="3"/>
  <c r="CO65" i="3"/>
  <c r="CN61" i="3"/>
  <c r="CT62" i="3"/>
  <c r="CF65" i="3"/>
  <c r="CH66" i="3"/>
  <c r="CC61" i="3"/>
  <c r="CI62" i="3"/>
  <c r="CD63" i="3"/>
  <c r="Q24" i="3"/>
  <c r="N25" i="3"/>
  <c r="BU69" i="3"/>
  <c r="BW70" i="3"/>
  <c r="AR27" i="3"/>
  <c r="AU26" i="3"/>
  <c r="AH27" i="3"/>
  <c r="AK26" i="3"/>
  <c r="X27" i="3"/>
  <c r="AA26" i="3"/>
  <c r="BS67" i="3"/>
  <c r="G24" i="3"/>
  <c r="D25" i="3"/>
  <c r="BG66" i="3"/>
  <c r="BM67" i="3"/>
  <c r="BH68" i="3"/>
  <c r="BL69" i="3"/>
  <c r="BX66" i="3"/>
  <c r="BR65" i="3"/>
  <c r="CU54" i="2"/>
  <c r="CT55" i="2"/>
  <c r="CO70" i="2"/>
  <c r="CJ69" i="2"/>
  <c r="CE46" i="2"/>
  <c r="CD47" i="2"/>
  <c r="BA69" i="2"/>
  <c r="BC70" i="2"/>
  <c r="BT67" i="2"/>
  <c r="BY67" i="2" s="1"/>
  <c r="BO66" i="2"/>
  <c r="BI65" i="2"/>
  <c r="BJ66" i="2"/>
  <c r="BN67" i="2"/>
  <c r="AJ49" i="2"/>
  <c r="AM48" i="2"/>
  <c r="AR48" i="2"/>
  <c r="AE23" i="2"/>
  <c r="Z23" i="2"/>
  <c r="W24" i="2"/>
  <c r="Q25" i="2"/>
  <c r="G22" i="2"/>
  <c r="D23" i="2"/>
  <c r="X20" i="1"/>
  <c r="AJ30" i="1"/>
  <c r="AP30" i="1" s="1"/>
  <c r="AL29" i="1"/>
  <c r="P21" i="1"/>
  <c r="R20" i="1"/>
  <c r="AD20" i="1" s="1"/>
  <c r="AA20" i="1"/>
  <c r="G50" i="1"/>
  <c r="F17" i="1"/>
  <c r="H17" i="1" s="1"/>
  <c r="CZ63" i="3" l="1"/>
  <c r="DD64" i="3"/>
  <c r="DE63" i="3"/>
  <c r="CY62" i="3"/>
  <c r="CN60" i="3"/>
  <c r="CT61" i="3"/>
  <c r="CS65" i="3"/>
  <c r="CO64" i="3"/>
  <c r="CF64" i="3"/>
  <c r="CH65" i="3"/>
  <c r="CD62" i="3"/>
  <c r="CC60" i="3"/>
  <c r="CI61" i="3"/>
  <c r="BA24" i="3"/>
  <c r="N26" i="3"/>
  <c r="Q25" i="3"/>
  <c r="BU68" i="3"/>
  <c r="BW69" i="3"/>
  <c r="AU27" i="3"/>
  <c r="AR28" i="3"/>
  <c r="AK27" i="3"/>
  <c r="AH28" i="3"/>
  <c r="AA27" i="3"/>
  <c r="X28" i="3"/>
  <c r="BL68" i="3"/>
  <c r="BH67" i="3"/>
  <c r="BM66" i="3"/>
  <c r="BG65" i="3"/>
  <c r="BR64" i="3"/>
  <c r="BX65" i="3"/>
  <c r="D26" i="3"/>
  <c r="G25" i="3"/>
  <c r="BS66" i="3"/>
  <c r="CJ68" i="2"/>
  <c r="CO69" i="2"/>
  <c r="CU53" i="2"/>
  <c r="CT54" i="2"/>
  <c r="CE45" i="2"/>
  <c r="CD46" i="2"/>
  <c r="BA68" i="2"/>
  <c r="BC69" i="2"/>
  <c r="BT66" i="2"/>
  <c r="BY66" i="2" s="1"/>
  <c r="BN66" i="2"/>
  <c r="BJ65" i="2"/>
  <c r="BI64" i="2"/>
  <c r="BO65" i="2"/>
  <c r="AJ50" i="2"/>
  <c r="AM49" i="2"/>
  <c r="AR49" i="2"/>
  <c r="Z24" i="2"/>
  <c r="AE24" i="2"/>
  <c r="W25" i="2"/>
  <c r="Q26" i="2"/>
  <c r="G23" i="2"/>
  <c r="D24" i="2"/>
  <c r="X21" i="1"/>
  <c r="AJ31" i="1"/>
  <c r="AP31" i="1" s="1"/>
  <c r="AL30" i="1"/>
  <c r="P22" i="1"/>
  <c r="R21" i="1"/>
  <c r="AD21" i="1" s="1"/>
  <c r="G51" i="1"/>
  <c r="F18" i="1"/>
  <c r="H18" i="1" s="1"/>
  <c r="DD63" i="3" l="1"/>
  <c r="CZ62" i="3"/>
  <c r="DE62" i="3"/>
  <c r="CY61" i="3"/>
  <c r="BA25" i="3"/>
  <c r="CO63" i="3"/>
  <c r="CS64" i="3"/>
  <c r="CN59" i="3"/>
  <c r="CT60" i="3"/>
  <c r="CF63" i="3"/>
  <c r="CH64" i="3"/>
  <c r="CC59" i="3"/>
  <c r="CI60" i="3"/>
  <c r="CD61" i="3"/>
  <c r="Q26" i="3"/>
  <c r="N27" i="3"/>
  <c r="BU67" i="3"/>
  <c r="BW68" i="3"/>
  <c r="AU28" i="3"/>
  <c r="AR29" i="3"/>
  <c r="AK28" i="3"/>
  <c r="AH29" i="3"/>
  <c r="AA28" i="3"/>
  <c r="X29" i="3"/>
  <c r="BX64" i="3"/>
  <c r="BR63" i="3"/>
  <c r="BG64" i="3"/>
  <c r="BM65" i="3"/>
  <c r="BS65" i="3"/>
  <c r="BH66" i="3"/>
  <c r="BL67" i="3"/>
  <c r="G26" i="3"/>
  <c r="D27" i="3"/>
  <c r="CU52" i="2"/>
  <c r="CT53" i="2"/>
  <c r="CJ67" i="2"/>
  <c r="CO68" i="2"/>
  <c r="BA67" i="2"/>
  <c r="BC68" i="2"/>
  <c r="CE44" i="2"/>
  <c r="CD45" i="2"/>
  <c r="BT65" i="2"/>
  <c r="BY65" i="2" s="1"/>
  <c r="BI63" i="2"/>
  <c r="BO64" i="2"/>
  <c r="BN65" i="2"/>
  <c r="BJ64" i="2"/>
  <c r="AJ51" i="2"/>
  <c r="AR50" i="2"/>
  <c r="AM50" i="2"/>
  <c r="Z25" i="2"/>
  <c r="AE25" i="2"/>
  <c r="W26" i="2"/>
  <c r="Q27" i="2"/>
  <c r="G24" i="2"/>
  <c r="D25" i="2"/>
  <c r="X22" i="1"/>
  <c r="AJ32" i="1"/>
  <c r="AP32" i="1" s="1"/>
  <c r="AL31" i="1"/>
  <c r="AA21" i="1"/>
  <c r="R22" i="1"/>
  <c r="AD22" i="1" s="1"/>
  <c r="P23" i="1"/>
  <c r="G52" i="1"/>
  <c r="F19" i="1"/>
  <c r="H19" i="1" s="1"/>
  <c r="CY60" i="3" l="1"/>
  <c r="DE61" i="3"/>
  <c r="DD62" i="3"/>
  <c r="CZ61" i="3"/>
  <c r="BA26" i="3"/>
  <c r="CT59" i="3"/>
  <c r="CN58" i="3"/>
  <c r="CS63" i="3"/>
  <c r="CO62" i="3"/>
  <c r="CF62" i="3"/>
  <c r="CH63" i="3"/>
  <c r="CD60" i="3"/>
  <c r="CI59" i="3"/>
  <c r="CC58" i="3"/>
  <c r="Q27" i="3"/>
  <c r="N28" i="3"/>
  <c r="BU66" i="3"/>
  <c r="BW67" i="3"/>
  <c r="AU29" i="3"/>
  <c r="AR30" i="3"/>
  <c r="AH30" i="3"/>
  <c r="AK29" i="3"/>
  <c r="X30" i="3"/>
  <c r="AA29" i="3"/>
  <c r="BS64" i="3"/>
  <c r="BG63" i="3"/>
  <c r="BM64" i="3"/>
  <c r="BL66" i="3"/>
  <c r="BH65" i="3"/>
  <c r="D28" i="3"/>
  <c r="G27" i="3"/>
  <c r="BR62" i="3"/>
  <c r="BX63" i="3"/>
  <c r="CJ66" i="2"/>
  <c r="CO67" i="2"/>
  <c r="CU51" i="2"/>
  <c r="CT52" i="2"/>
  <c r="CE43" i="2"/>
  <c r="CD44" i="2"/>
  <c r="BA66" i="2"/>
  <c r="BC67" i="2"/>
  <c r="BT64" i="2"/>
  <c r="BY64" i="2" s="1"/>
  <c r="BJ63" i="2"/>
  <c r="BN64" i="2"/>
  <c r="BO63" i="2"/>
  <c r="BI62" i="2"/>
  <c r="AJ52" i="2"/>
  <c r="AR51" i="2"/>
  <c r="AM51" i="2"/>
  <c r="Z26" i="2"/>
  <c r="AE26" i="2"/>
  <c r="W27" i="2"/>
  <c r="Q28" i="2"/>
  <c r="G25" i="2"/>
  <c r="D26" i="2"/>
  <c r="X23" i="1"/>
  <c r="AJ33" i="1"/>
  <c r="AP33" i="1" s="1"/>
  <c r="AL32" i="1"/>
  <c r="P24" i="1"/>
  <c r="R23" i="1"/>
  <c r="AD23" i="1" s="1"/>
  <c r="AA22" i="1"/>
  <c r="G53" i="1"/>
  <c r="F20" i="1"/>
  <c r="H20" i="1" s="1"/>
  <c r="CY59" i="3" l="1"/>
  <c r="DE60" i="3"/>
  <c r="DD61" i="3"/>
  <c r="CZ60" i="3"/>
  <c r="BA27" i="3"/>
  <c r="CO61" i="3"/>
  <c r="CS62" i="3"/>
  <c r="CT58" i="3"/>
  <c r="CN57" i="3"/>
  <c r="CF61" i="3"/>
  <c r="CH62" i="3"/>
  <c r="CI58" i="3"/>
  <c r="CC57" i="3"/>
  <c r="CD59" i="3"/>
  <c r="Q28" i="3"/>
  <c r="N29" i="3"/>
  <c r="BU65" i="3"/>
  <c r="BW66" i="3"/>
  <c r="AR31" i="3"/>
  <c r="AU30" i="3"/>
  <c r="AH31" i="3"/>
  <c r="AK30" i="3"/>
  <c r="X31" i="3"/>
  <c r="AA30" i="3"/>
  <c r="D29" i="3"/>
  <c r="G28" i="3"/>
  <c r="BH64" i="3"/>
  <c r="BL65" i="3"/>
  <c r="BG62" i="3"/>
  <c r="BM63" i="3"/>
  <c r="BS63" i="3"/>
  <c r="BX62" i="3"/>
  <c r="BR61" i="3"/>
  <c r="CU50" i="2"/>
  <c r="CT51" i="2"/>
  <c r="CJ65" i="2"/>
  <c r="CO66" i="2"/>
  <c r="BA65" i="2"/>
  <c r="BC66" i="2"/>
  <c r="CE42" i="2"/>
  <c r="CD43" i="2"/>
  <c r="BT63" i="2"/>
  <c r="BY63" i="2" s="1"/>
  <c r="BI61" i="2"/>
  <c r="BO62" i="2"/>
  <c r="BN63" i="2"/>
  <c r="BJ62" i="2"/>
  <c r="AJ53" i="2"/>
  <c r="AR52" i="2"/>
  <c r="AM52" i="2"/>
  <c r="Z27" i="2"/>
  <c r="AE27" i="2"/>
  <c r="W28" i="2"/>
  <c r="Q29" i="2"/>
  <c r="G26" i="2"/>
  <c r="D27" i="2"/>
  <c r="X24" i="1"/>
  <c r="AJ34" i="1"/>
  <c r="AP34" i="1" s="1"/>
  <c r="AL33" i="1"/>
  <c r="AA23" i="1"/>
  <c r="P25" i="1"/>
  <c r="R24" i="1"/>
  <c r="AD24" i="1" s="1"/>
  <c r="G54" i="1"/>
  <c r="F21" i="1"/>
  <c r="H21" i="1" s="1"/>
  <c r="DE59" i="3" l="1"/>
  <c r="CY58" i="3"/>
  <c r="DD60" i="3"/>
  <c r="CZ59" i="3"/>
  <c r="BA28" i="3"/>
  <c r="CN56" i="3"/>
  <c r="CT57" i="3"/>
  <c r="CS61" i="3"/>
  <c r="CO60" i="3"/>
  <c r="CF60" i="3"/>
  <c r="CH61" i="3"/>
  <c r="CD58" i="3"/>
  <c r="CC56" i="3"/>
  <c r="CI57" i="3"/>
  <c r="N30" i="3"/>
  <c r="Q29" i="3"/>
  <c r="BU64" i="3"/>
  <c r="BW65" i="3"/>
  <c r="AR32" i="3"/>
  <c r="AU31" i="3"/>
  <c r="AH32" i="3"/>
  <c r="AK31" i="3"/>
  <c r="X32" i="3"/>
  <c r="AA31" i="3"/>
  <c r="BH63" i="3"/>
  <c r="BL64" i="3"/>
  <c r="BX61" i="3"/>
  <c r="BR60" i="3"/>
  <c r="BS62" i="3"/>
  <c r="BG61" i="3"/>
  <c r="BM62" i="3"/>
  <c r="D30" i="3"/>
  <c r="G29" i="3"/>
  <c r="CJ64" i="2"/>
  <c r="CO65" i="2"/>
  <c r="CU49" i="2"/>
  <c r="CT50" i="2"/>
  <c r="CE41" i="2"/>
  <c r="CD42" i="2"/>
  <c r="BA64" i="2"/>
  <c r="BC65" i="2"/>
  <c r="BT62" i="2"/>
  <c r="BY62" i="2" s="1"/>
  <c r="BJ61" i="2"/>
  <c r="BN62" i="2"/>
  <c r="BI60" i="2"/>
  <c r="BO61" i="2"/>
  <c r="AJ54" i="2"/>
  <c r="AM53" i="2"/>
  <c r="AR53" i="2"/>
  <c r="Z28" i="2"/>
  <c r="AE28" i="2"/>
  <c r="W29" i="2"/>
  <c r="Q30" i="2"/>
  <c r="D28" i="2"/>
  <c r="G27" i="2"/>
  <c r="X25" i="1"/>
  <c r="AJ35" i="1"/>
  <c r="AP35" i="1" s="1"/>
  <c r="AL34" i="1"/>
  <c r="P26" i="1"/>
  <c r="R25" i="1"/>
  <c r="AD25" i="1" s="1"/>
  <c r="AA24" i="1"/>
  <c r="G55" i="1"/>
  <c r="F22" i="1"/>
  <c r="H22" i="1" s="1"/>
  <c r="DD59" i="3" l="1"/>
  <c r="CZ58" i="3"/>
  <c r="CY57" i="3"/>
  <c r="DE58" i="3"/>
  <c r="CO59" i="3"/>
  <c r="CS60" i="3"/>
  <c r="CT56" i="3"/>
  <c r="CN55" i="3"/>
  <c r="CF59" i="3"/>
  <c r="CH60" i="3"/>
  <c r="CI56" i="3"/>
  <c r="CC55" i="3"/>
  <c r="CD57" i="3"/>
  <c r="N31" i="3"/>
  <c r="Q30" i="3"/>
  <c r="BA29" i="3"/>
  <c r="BU63" i="3"/>
  <c r="BW64" i="3"/>
  <c r="AU32" i="3"/>
  <c r="AR33" i="3"/>
  <c r="AK32" i="3"/>
  <c r="AH33" i="3"/>
  <c r="X33" i="3"/>
  <c r="AA32" i="3"/>
  <c r="BS61" i="3"/>
  <c r="BL63" i="3"/>
  <c r="BH62" i="3"/>
  <c r="BR59" i="3"/>
  <c r="BX60" i="3"/>
  <c r="D31" i="3"/>
  <c r="G30" i="3"/>
  <c r="BG60" i="3"/>
  <c r="BM61" i="3"/>
  <c r="CU48" i="2"/>
  <c r="CT49" i="2"/>
  <c r="CJ63" i="2"/>
  <c r="CO64" i="2"/>
  <c r="CE40" i="2"/>
  <c r="CD41" i="2"/>
  <c r="BA63" i="2"/>
  <c r="BC64" i="2"/>
  <c r="BT61" i="2"/>
  <c r="BY61" i="2" s="1"/>
  <c r="BO60" i="2"/>
  <c r="BI59" i="2"/>
  <c r="BJ60" i="2"/>
  <c r="BN61" i="2"/>
  <c r="AJ55" i="2"/>
  <c r="AM54" i="2"/>
  <c r="AR54" i="2"/>
  <c r="AE29" i="2"/>
  <c r="Z29" i="2"/>
  <c r="W30" i="2"/>
  <c r="Q31" i="2"/>
  <c r="D29" i="2"/>
  <c r="G28" i="2"/>
  <c r="X26" i="1"/>
  <c r="AJ36" i="1"/>
  <c r="AP36" i="1" s="1"/>
  <c r="AL35" i="1"/>
  <c r="AA25" i="1"/>
  <c r="R26" i="1"/>
  <c r="AD26" i="1" s="1"/>
  <c r="AA26" i="1"/>
  <c r="P27" i="1"/>
  <c r="G56" i="1"/>
  <c r="F23" i="1"/>
  <c r="H23" i="1" s="1"/>
  <c r="DE57" i="3" l="1"/>
  <c r="CY56" i="3"/>
  <c r="CZ57" i="3"/>
  <c r="DD58" i="3"/>
  <c r="BA30" i="3"/>
  <c r="CN54" i="3"/>
  <c r="CT55" i="3"/>
  <c r="CO58" i="3"/>
  <c r="CS59" i="3"/>
  <c r="CF58" i="3"/>
  <c r="CH59" i="3"/>
  <c r="CD56" i="3"/>
  <c r="CC54" i="3"/>
  <c r="CI55" i="3"/>
  <c r="Q31" i="3"/>
  <c r="N32" i="3"/>
  <c r="BU62" i="3"/>
  <c r="BW63" i="3"/>
  <c r="AR34" i="3"/>
  <c r="AU33" i="3"/>
  <c r="AH34" i="3"/>
  <c r="AK33" i="3"/>
  <c r="X34" i="3"/>
  <c r="AA33" i="3"/>
  <c r="G31" i="3"/>
  <c r="D32" i="3"/>
  <c r="BR58" i="3"/>
  <c r="BX59" i="3"/>
  <c r="BH61" i="3"/>
  <c r="BL62" i="3"/>
  <c r="BS60" i="3"/>
  <c r="BM60" i="3"/>
  <c r="BG59" i="3"/>
  <c r="CJ62" i="2"/>
  <c r="CO63" i="2"/>
  <c r="CU47" i="2"/>
  <c r="CT48" i="2"/>
  <c r="BA62" i="2"/>
  <c r="BC63" i="2"/>
  <c r="CE39" i="2"/>
  <c r="CD40" i="2"/>
  <c r="BT60" i="2"/>
  <c r="BY60" i="2" s="1"/>
  <c r="BN60" i="2"/>
  <c r="BJ59" i="2"/>
  <c r="BI58" i="2"/>
  <c r="BO59" i="2"/>
  <c r="AJ56" i="2"/>
  <c r="AR55" i="2"/>
  <c r="AM55" i="2"/>
  <c r="AE30" i="2"/>
  <c r="Z30" i="2"/>
  <c r="W31" i="2"/>
  <c r="Q32" i="2"/>
  <c r="D30" i="2"/>
  <c r="G29" i="2"/>
  <c r="X27" i="1"/>
  <c r="AJ37" i="1"/>
  <c r="AP37" i="1" s="1"/>
  <c r="AL36" i="1"/>
  <c r="P28" i="1"/>
  <c r="R27" i="1"/>
  <c r="AD27" i="1" s="1"/>
  <c r="F24" i="1"/>
  <c r="H24" i="1" s="1"/>
  <c r="DD57" i="3" l="1"/>
  <c r="CZ56" i="3"/>
  <c r="CY55" i="3"/>
  <c r="DE56" i="3"/>
  <c r="BA31" i="3"/>
  <c r="CS58" i="3"/>
  <c r="CO57" i="3"/>
  <c r="CT54" i="3"/>
  <c r="CN53" i="3"/>
  <c r="CF57" i="3"/>
  <c r="CH58" i="3"/>
  <c r="CD55" i="3"/>
  <c r="CC53" i="3"/>
  <c r="CI54" i="3"/>
  <c r="N33" i="3"/>
  <c r="Q32" i="3"/>
  <c r="BU61" i="3"/>
  <c r="BW62" i="3"/>
  <c r="AU34" i="3"/>
  <c r="AR35" i="3"/>
  <c r="AK34" i="3"/>
  <c r="AH35" i="3"/>
  <c r="AA34" i="3"/>
  <c r="X35" i="3"/>
  <c r="BS59" i="3"/>
  <c r="BH60" i="3"/>
  <c r="BL61" i="3"/>
  <c r="BX58" i="3"/>
  <c r="BR57" i="3"/>
  <c r="G32" i="3"/>
  <c r="D33" i="3"/>
  <c r="BM59" i="3"/>
  <c r="BG58" i="3"/>
  <c r="CU46" i="2"/>
  <c r="CT47" i="2"/>
  <c r="CO62" i="2"/>
  <c r="CJ61" i="2"/>
  <c r="CE38" i="2"/>
  <c r="CD39" i="2"/>
  <c r="BA61" i="2"/>
  <c r="BC62" i="2"/>
  <c r="BT59" i="2"/>
  <c r="BY59" i="2" s="1"/>
  <c r="BI57" i="2"/>
  <c r="BO58" i="2"/>
  <c r="BJ58" i="2"/>
  <c r="BN59" i="2"/>
  <c r="AM56" i="2"/>
  <c r="AJ57" i="2"/>
  <c r="AR56" i="2"/>
  <c r="AE31" i="2"/>
  <c r="Z31" i="2"/>
  <c r="W32" i="2"/>
  <c r="Q33" i="2"/>
  <c r="D31" i="2"/>
  <c r="G30" i="2"/>
  <c r="X28" i="1"/>
  <c r="AJ38" i="1"/>
  <c r="AP38" i="1" s="1"/>
  <c r="AL37" i="1"/>
  <c r="AA27" i="1"/>
  <c r="R28" i="1"/>
  <c r="AD28" i="1" s="1"/>
  <c r="P29" i="1"/>
  <c r="F25" i="1"/>
  <c r="H25" i="1" s="1"/>
  <c r="CY54" i="3" l="1"/>
  <c r="DE55" i="3"/>
  <c r="DD56" i="3"/>
  <c r="CZ55" i="3"/>
  <c r="BA32" i="3"/>
  <c r="CT53" i="3"/>
  <c r="CN52" i="3"/>
  <c r="CO56" i="3"/>
  <c r="CS57" i="3"/>
  <c r="CF56" i="3"/>
  <c r="CH57" i="3"/>
  <c r="CI53" i="3"/>
  <c r="CC52" i="3"/>
  <c r="CD54" i="3"/>
  <c r="Q33" i="3"/>
  <c r="N34" i="3"/>
  <c r="BU60" i="3"/>
  <c r="BW61" i="3"/>
  <c r="AU35" i="3"/>
  <c r="AR36" i="3"/>
  <c r="AH36" i="3"/>
  <c r="AK35" i="3"/>
  <c r="X36" i="3"/>
  <c r="AA35" i="3"/>
  <c r="G33" i="3"/>
  <c r="BA33" i="3" s="1"/>
  <c r="D34" i="3"/>
  <c r="BR56" i="3"/>
  <c r="BX57" i="3"/>
  <c r="BL60" i="3"/>
  <c r="BH59" i="3"/>
  <c r="BS58" i="3"/>
  <c r="BM58" i="3"/>
  <c r="BG57" i="3"/>
  <c r="CJ60" i="2"/>
  <c r="CO61" i="2"/>
  <c r="CU45" i="2"/>
  <c r="CT46" i="2"/>
  <c r="BA60" i="2"/>
  <c r="BC61" i="2"/>
  <c r="CE37" i="2"/>
  <c r="CD38" i="2"/>
  <c r="BT58" i="2"/>
  <c r="BY58" i="2" s="1"/>
  <c r="BJ57" i="2"/>
  <c r="BN58" i="2"/>
  <c r="BO57" i="2"/>
  <c r="BI56" i="2"/>
  <c r="AJ58" i="2"/>
  <c r="AM57" i="2"/>
  <c r="AR57" i="2"/>
  <c r="AE32" i="2"/>
  <c r="Z32" i="2"/>
  <c r="W33" i="2"/>
  <c r="Q34" i="2"/>
  <c r="D32" i="2"/>
  <c r="G31" i="2"/>
  <c r="X29" i="1"/>
  <c r="AJ39" i="1"/>
  <c r="AP39" i="1" s="1"/>
  <c r="AL38" i="1"/>
  <c r="P30" i="1"/>
  <c r="R29" i="1"/>
  <c r="AD29" i="1" s="1"/>
  <c r="AA29" i="1"/>
  <c r="AA28" i="1"/>
  <c r="F26" i="1"/>
  <c r="H26" i="1" s="1"/>
  <c r="DE54" i="3" l="1"/>
  <c r="CY53" i="3"/>
  <c r="CZ54" i="3"/>
  <c r="DD55" i="3"/>
  <c r="CS56" i="3"/>
  <c r="CO55" i="3"/>
  <c r="CN51" i="3"/>
  <c r="CT52" i="3"/>
  <c r="CF55" i="3"/>
  <c r="CH56" i="3"/>
  <c r="CD53" i="3"/>
  <c r="CC51" i="3"/>
  <c r="CI52" i="3"/>
  <c r="N35" i="3"/>
  <c r="Q34" i="3"/>
  <c r="BU59" i="3"/>
  <c r="BW60" i="3"/>
  <c r="AR37" i="3"/>
  <c r="AU36" i="3"/>
  <c r="AH37" i="3"/>
  <c r="AK36" i="3"/>
  <c r="X37" i="3"/>
  <c r="AA36" i="3"/>
  <c r="BS57" i="3"/>
  <c r="G34" i="3"/>
  <c r="D35" i="3"/>
  <c r="BH58" i="3"/>
  <c r="BL59" i="3"/>
  <c r="BR55" i="3"/>
  <c r="BX56" i="3"/>
  <c r="BG56" i="3"/>
  <c r="BM57" i="3"/>
  <c r="CU44" i="2"/>
  <c r="CT45" i="2"/>
  <c r="CO60" i="2"/>
  <c r="CJ59" i="2"/>
  <c r="CE36" i="2"/>
  <c r="CD37" i="2"/>
  <c r="BC60" i="2"/>
  <c r="BA59" i="2"/>
  <c r="BT57" i="2"/>
  <c r="BY57" i="2" s="1"/>
  <c r="BI55" i="2"/>
  <c r="BO56" i="2"/>
  <c r="BN57" i="2"/>
  <c r="BJ56" i="2"/>
  <c r="AJ59" i="2"/>
  <c r="AR58" i="2"/>
  <c r="AM58" i="2"/>
  <c r="AE33" i="2"/>
  <c r="Z33" i="2"/>
  <c r="W34" i="2"/>
  <c r="Q35" i="2"/>
  <c r="G32" i="2"/>
  <c r="D33" i="2"/>
  <c r="X30" i="1"/>
  <c r="AJ40" i="1"/>
  <c r="AP40" i="1" s="1"/>
  <c r="AL39" i="1"/>
  <c r="R30" i="1"/>
  <c r="AD30" i="1" s="1"/>
  <c r="P31" i="1"/>
  <c r="F27" i="1"/>
  <c r="H27" i="1" s="1"/>
  <c r="CZ53" i="3" l="1"/>
  <c r="DD54" i="3"/>
  <c r="CY52" i="3"/>
  <c r="DE53" i="3"/>
  <c r="BA34" i="3"/>
  <c r="CN50" i="3"/>
  <c r="CT51" i="3"/>
  <c r="CS55" i="3"/>
  <c r="CO54" i="3"/>
  <c r="CF54" i="3"/>
  <c r="CH55" i="3"/>
  <c r="CD52" i="3"/>
  <c r="CI51" i="3"/>
  <c r="CC50" i="3"/>
  <c r="N36" i="3"/>
  <c r="Q35" i="3"/>
  <c r="BU58" i="3"/>
  <c r="BW59" i="3"/>
  <c r="AU37" i="3"/>
  <c r="AR38" i="3"/>
  <c r="AK37" i="3"/>
  <c r="AH38" i="3"/>
  <c r="AA37" i="3"/>
  <c r="X38" i="3"/>
  <c r="D36" i="3"/>
  <c r="G35" i="3"/>
  <c r="BA35" i="3" s="1"/>
  <c r="BR54" i="3"/>
  <c r="BX55" i="3"/>
  <c r="BL58" i="3"/>
  <c r="BH57" i="3"/>
  <c r="BS56" i="3"/>
  <c r="BM56" i="3"/>
  <c r="BG55" i="3"/>
  <c r="CU43" i="2"/>
  <c r="CT44" i="2"/>
  <c r="CJ58" i="2"/>
  <c r="CO59" i="2"/>
  <c r="CE35" i="2"/>
  <c r="CD36" i="2"/>
  <c r="BC59" i="2"/>
  <c r="BA58" i="2"/>
  <c r="BT56" i="2"/>
  <c r="BY56" i="2" s="1"/>
  <c r="BJ55" i="2"/>
  <c r="BN56" i="2"/>
  <c r="BO55" i="2"/>
  <c r="BI54" i="2"/>
  <c r="AJ60" i="2"/>
  <c r="AR59" i="2"/>
  <c r="AM59" i="2"/>
  <c r="AE34" i="2"/>
  <c r="Z34" i="2"/>
  <c r="W35" i="2"/>
  <c r="Q36" i="2"/>
  <c r="G33" i="2"/>
  <c r="D34" i="2"/>
  <c r="AA30" i="1"/>
  <c r="X31" i="1"/>
  <c r="AJ41" i="1"/>
  <c r="AP41" i="1" s="1"/>
  <c r="AL40" i="1"/>
  <c r="P32" i="1"/>
  <c r="R31" i="1"/>
  <c r="AD31" i="1" s="1"/>
  <c r="F28" i="1"/>
  <c r="H28" i="1" s="1"/>
  <c r="CZ52" i="3" l="1"/>
  <c r="DD53" i="3"/>
  <c r="DE52" i="3"/>
  <c r="CY51" i="3"/>
  <c r="CS54" i="3"/>
  <c r="CO53" i="3"/>
  <c r="CN49" i="3"/>
  <c r="CT50" i="3"/>
  <c r="CF53" i="3"/>
  <c r="CH54" i="3"/>
  <c r="CI50" i="3"/>
  <c r="CC49" i="3"/>
  <c r="CD51" i="3"/>
  <c r="Q36" i="3"/>
  <c r="N37" i="3"/>
  <c r="BU57" i="3"/>
  <c r="BW58" i="3"/>
  <c r="AU38" i="3"/>
  <c r="AR39" i="3"/>
  <c r="AH39" i="3"/>
  <c r="AK38" i="3"/>
  <c r="X39" i="3"/>
  <c r="AA38" i="3"/>
  <c r="BS55" i="3"/>
  <c r="BL57" i="3"/>
  <c r="BH56" i="3"/>
  <c r="BX54" i="3"/>
  <c r="BR53" i="3"/>
  <c r="BG54" i="3"/>
  <c r="BM55" i="3"/>
  <c r="D37" i="3"/>
  <c r="G36" i="3"/>
  <c r="CU42" i="2"/>
  <c r="CT43" i="2"/>
  <c r="CO58" i="2"/>
  <c r="CJ57" i="2"/>
  <c r="BA57" i="2"/>
  <c r="BC58" i="2"/>
  <c r="CE34" i="2"/>
  <c r="CD35" i="2"/>
  <c r="BT55" i="2"/>
  <c r="BY55" i="2" s="1"/>
  <c r="BO54" i="2"/>
  <c r="BI53" i="2"/>
  <c r="BJ54" i="2"/>
  <c r="BN55" i="2"/>
  <c r="AJ61" i="2"/>
  <c r="AM60" i="2"/>
  <c r="AR60" i="2"/>
  <c r="AE35" i="2"/>
  <c r="Z35" i="2"/>
  <c r="W36" i="2"/>
  <c r="Q37" i="2"/>
  <c r="G34" i="2"/>
  <c r="D35" i="2"/>
  <c r="X32" i="1"/>
  <c r="AJ42" i="1"/>
  <c r="AP42" i="1" s="1"/>
  <c r="AL41" i="1"/>
  <c r="AA31" i="1"/>
  <c r="R32" i="1"/>
  <c r="AD32" i="1" s="1"/>
  <c r="P33" i="1"/>
  <c r="F29" i="1"/>
  <c r="H29" i="1" s="1"/>
  <c r="DD52" i="3" l="1"/>
  <c r="CZ51" i="3"/>
  <c r="DE51" i="3"/>
  <c r="CY50" i="3"/>
  <c r="BA36" i="3"/>
  <c r="CT49" i="3"/>
  <c r="CN48" i="3"/>
  <c r="CS53" i="3"/>
  <c r="CO52" i="3"/>
  <c r="CF52" i="3"/>
  <c r="CH53" i="3"/>
  <c r="CD50" i="3"/>
  <c r="CC48" i="3"/>
  <c r="CI49" i="3"/>
  <c r="N38" i="3"/>
  <c r="Q37" i="3"/>
  <c r="BU56" i="3"/>
  <c r="BW57" i="3"/>
  <c r="AU39" i="3"/>
  <c r="AR40" i="3"/>
  <c r="AH40" i="3"/>
  <c r="AK39" i="3"/>
  <c r="X40" i="3"/>
  <c r="AA39" i="3"/>
  <c r="BX53" i="3"/>
  <c r="BR52" i="3"/>
  <c r="BL56" i="3"/>
  <c r="BH55" i="3"/>
  <c r="BS54" i="3"/>
  <c r="D38" i="3"/>
  <c r="G37" i="3"/>
  <c r="BM54" i="3"/>
  <c r="BG53" i="3"/>
  <c r="CU41" i="2"/>
  <c r="CT42" i="2"/>
  <c r="CJ56" i="2"/>
  <c r="CO57" i="2"/>
  <c r="CE33" i="2"/>
  <c r="CD34" i="2"/>
  <c r="BC57" i="2"/>
  <c r="BA56" i="2"/>
  <c r="BT54" i="2"/>
  <c r="BY54" i="2" s="1"/>
  <c r="BN54" i="2"/>
  <c r="BJ53" i="2"/>
  <c r="BI52" i="2"/>
  <c r="BO53" i="2"/>
  <c r="AJ62" i="2"/>
  <c r="AR61" i="2"/>
  <c r="AM61" i="2"/>
  <c r="AE36" i="2"/>
  <c r="Z36" i="2"/>
  <c r="W37" i="2"/>
  <c r="Q38" i="2"/>
  <c r="G35" i="2"/>
  <c r="D36" i="2"/>
  <c r="X33" i="1"/>
  <c r="AJ43" i="1"/>
  <c r="AP43" i="1" s="1"/>
  <c r="AL42" i="1"/>
  <c r="R33" i="1"/>
  <c r="AD33" i="1" s="1"/>
  <c r="P34" i="1"/>
  <c r="AA32" i="1"/>
  <c r="F30" i="1"/>
  <c r="H30" i="1" s="1"/>
  <c r="CY49" i="3" l="1"/>
  <c r="DE50" i="3"/>
  <c r="DD51" i="3"/>
  <c r="CZ50" i="3"/>
  <c r="BA37" i="3"/>
  <c r="CO51" i="3"/>
  <c r="CS52" i="3"/>
  <c r="CT48" i="3"/>
  <c r="CN47" i="3"/>
  <c r="CF51" i="3"/>
  <c r="CH52" i="3"/>
  <c r="CI48" i="3"/>
  <c r="CC47" i="3"/>
  <c r="CD49" i="3"/>
  <c r="N39" i="3"/>
  <c r="Q38" i="3"/>
  <c r="BU55" i="3"/>
  <c r="BW56" i="3"/>
  <c r="AR41" i="3"/>
  <c r="AU40" i="3"/>
  <c r="AH41" i="3"/>
  <c r="AK40" i="3"/>
  <c r="X41" i="3"/>
  <c r="AA40" i="3"/>
  <c r="D39" i="3"/>
  <c r="G38" i="3"/>
  <c r="BS53" i="3"/>
  <c r="BL55" i="3"/>
  <c r="BH54" i="3"/>
  <c r="BM53" i="3"/>
  <c r="BG52" i="3"/>
  <c r="BX52" i="3"/>
  <c r="BR51" i="3"/>
  <c r="CU40" i="2"/>
  <c r="CT41" i="2"/>
  <c r="CO56" i="2"/>
  <c r="CJ55" i="2"/>
  <c r="BA55" i="2"/>
  <c r="BC56" i="2"/>
  <c r="CE32" i="2"/>
  <c r="CD33" i="2"/>
  <c r="BT53" i="2"/>
  <c r="BY53" i="2" s="1"/>
  <c r="BI51" i="2"/>
  <c r="BO52" i="2"/>
  <c r="BJ52" i="2"/>
  <c r="BN53" i="2"/>
  <c r="AJ63" i="2"/>
  <c r="AR62" i="2"/>
  <c r="AM62" i="2"/>
  <c r="AE37" i="2"/>
  <c r="Z37" i="2"/>
  <c r="W38" i="2"/>
  <c r="Q39" i="2"/>
  <c r="G36" i="2"/>
  <c r="D37" i="2"/>
  <c r="G37" i="2" s="1"/>
  <c r="X34" i="1"/>
  <c r="AJ44" i="1"/>
  <c r="AP44" i="1" s="1"/>
  <c r="AL43" i="1"/>
  <c r="R34" i="1"/>
  <c r="AD34" i="1" s="1"/>
  <c r="AA34" i="1"/>
  <c r="P35" i="1"/>
  <c r="AA33" i="1"/>
  <c r="F31" i="1"/>
  <c r="H31" i="1" s="1"/>
  <c r="DE49" i="3" l="1"/>
  <c r="CY48" i="3"/>
  <c r="CZ49" i="3"/>
  <c r="DD50" i="3"/>
  <c r="CN46" i="3"/>
  <c r="CT47" i="3"/>
  <c r="CS51" i="3"/>
  <c r="CO50" i="3"/>
  <c r="CF50" i="3"/>
  <c r="CH51" i="3"/>
  <c r="CD48" i="3"/>
  <c r="CI47" i="3"/>
  <c r="CC46" i="3"/>
  <c r="N40" i="3"/>
  <c r="Q39" i="3"/>
  <c r="BA38" i="3"/>
  <c r="BU54" i="3"/>
  <c r="BW55" i="3"/>
  <c r="AR42" i="3"/>
  <c r="AU41" i="3"/>
  <c r="AH42" i="3"/>
  <c r="AK41" i="3"/>
  <c r="X42" i="3"/>
  <c r="AA41" i="3"/>
  <c r="D40" i="3"/>
  <c r="G39" i="3"/>
  <c r="BM52" i="3"/>
  <c r="BG51" i="3"/>
  <c r="BL54" i="3"/>
  <c r="BH53" i="3"/>
  <c r="BX51" i="3"/>
  <c r="BR50" i="3"/>
  <c r="BS52" i="3"/>
  <c r="CU39" i="2"/>
  <c r="CT40" i="2"/>
  <c r="CJ54" i="2"/>
  <c r="CO55" i="2"/>
  <c r="CE31" i="2"/>
  <c r="CD32" i="2"/>
  <c r="BA54" i="2"/>
  <c r="BC55" i="2"/>
  <c r="BT52" i="2"/>
  <c r="BY52" i="2" s="1"/>
  <c r="BN52" i="2"/>
  <c r="BJ51" i="2"/>
  <c r="BO51" i="2"/>
  <c r="BI50" i="2"/>
  <c r="AR63" i="2"/>
  <c r="AJ64" i="2"/>
  <c r="AM63" i="2"/>
  <c r="AE38" i="2"/>
  <c r="Z38" i="2"/>
  <c r="W39" i="2"/>
  <c r="Q40" i="2"/>
  <c r="D38" i="2"/>
  <c r="G38" i="2" s="1"/>
  <c r="X35" i="1"/>
  <c r="AJ45" i="1"/>
  <c r="AP45" i="1" s="1"/>
  <c r="AL44" i="1"/>
  <c r="R35" i="1"/>
  <c r="AD35" i="1" s="1"/>
  <c r="AA35" i="1"/>
  <c r="P36" i="1"/>
  <c r="F32" i="1"/>
  <c r="H32" i="1" s="1"/>
  <c r="DD49" i="3" l="1"/>
  <c r="CZ48" i="3"/>
  <c r="DE48" i="3"/>
  <c r="CY47" i="3"/>
  <c r="BA39" i="3"/>
  <c r="CO49" i="3"/>
  <c r="CS50" i="3"/>
  <c r="CN45" i="3"/>
  <c r="CT46" i="3"/>
  <c r="CF49" i="3"/>
  <c r="CH50" i="3"/>
  <c r="CD47" i="3"/>
  <c r="CC45" i="3"/>
  <c r="CI46" i="3"/>
  <c r="Q40" i="3"/>
  <c r="N41" i="3"/>
  <c r="BU53" i="3"/>
  <c r="BW54" i="3"/>
  <c r="AU42" i="3"/>
  <c r="AR43" i="3"/>
  <c r="AH43" i="3"/>
  <c r="AK42" i="3"/>
  <c r="X43" i="3"/>
  <c r="AA42" i="3"/>
  <c r="BS51" i="3"/>
  <c r="D41" i="3"/>
  <c r="G40" i="3"/>
  <c r="BA40" i="3" s="1"/>
  <c r="BM51" i="3"/>
  <c r="BG50" i="3"/>
  <c r="BR49" i="3"/>
  <c r="BX50" i="3"/>
  <c r="BL53" i="3"/>
  <c r="BH52" i="3"/>
  <c r="CU38" i="2"/>
  <c r="CT39" i="2"/>
  <c r="CJ53" i="2"/>
  <c r="CO54" i="2"/>
  <c r="BA53" i="2"/>
  <c r="BC54" i="2"/>
  <c r="CE30" i="2"/>
  <c r="CD31" i="2"/>
  <c r="BT51" i="2"/>
  <c r="BY51" i="2" s="1"/>
  <c r="BI49" i="2"/>
  <c r="BO50" i="2"/>
  <c r="BN51" i="2"/>
  <c r="BJ50" i="2"/>
  <c r="AJ65" i="2"/>
  <c r="AM64" i="2"/>
  <c r="AR64" i="2"/>
  <c r="AE39" i="2"/>
  <c r="Z39" i="2"/>
  <c r="W40" i="2"/>
  <c r="Q41" i="2"/>
  <c r="D39" i="2"/>
  <c r="G39" i="2" s="1"/>
  <c r="X36" i="1"/>
  <c r="AJ46" i="1"/>
  <c r="AP46" i="1" s="1"/>
  <c r="AL45" i="1"/>
  <c r="P37" i="1"/>
  <c r="R36" i="1"/>
  <c r="AD36" i="1" s="1"/>
  <c r="F33" i="1"/>
  <c r="H33" i="1" s="1"/>
  <c r="CY46" i="3" l="1"/>
  <c r="DE47" i="3"/>
  <c r="DD48" i="3"/>
  <c r="CZ47" i="3"/>
  <c r="CN44" i="3"/>
  <c r="CT45" i="3"/>
  <c r="CS49" i="3"/>
  <c r="CO48" i="3"/>
  <c r="CF48" i="3"/>
  <c r="CH49" i="3"/>
  <c r="CD46" i="3"/>
  <c r="CI45" i="3"/>
  <c r="CC44" i="3"/>
  <c r="Q41" i="3"/>
  <c r="N42" i="3"/>
  <c r="BU52" i="3"/>
  <c r="BW53" i="3"/>
  <c r="AR44" i="3"/>
  <c r="AU43" i="3"/>
  <c r="AH44" i="3"/>
  <c r="AK43" i="3"/>
  <c r="X44" i="3"/>
  <c r="AA43" i="3"/>
  <c r="BL52" i="3"/>
  <c r="BH51" i="3"/>
  <c r="BR48" i="3"/>
  <c r="BX49" i="3"/>
  <c r="BM50" i="3"/>
  <c r="BG49" i="3"/>
  <c r="D42" i="3"/>
  <c r="G41" i="3"/>
  <c r="BS50" i="3"/>
  <c r="CU37" i="2"/>
  <c r="CT38" i="2"/>
  <c r="CJ52" i="2"/>
  <c r="CO53" i="2"/>
  <c r="CE29" i="2"/>
  <c r="CD30" i="2"/>
  <c r="BA52" i="2"/>
  <c r="BC53" i="2"/>
  <c r="BT50" i="2"/>
  <c r="BY50" i="2" s="1"/>
  <c r="BJ49" i="2"/>
  <c r="BN50" i="2"/>
  <c r="BO49" i="2"/>
  <c r="BI48" i="2"/>
  <c r="AJ66" i="2"/>
  <c r="AR65" i="2"/>
  <c r="AM65" i="2"/>
  <c r="Z40" i="2"/>
  <c r="AE40" i="2"/>
  <c r="W41" i="2"/>
  <c r="Q42" i="2"/>
  <c r="D40" i="2"/>
  <c r="G40" i="2" s="1"/>
  <c r="X37" i="1"/>
  <c r="AJ47" i="1"/>
  <c r="AP47" i="1" s="1"/>
  <c r="AL46" i="1"/>
  <c r="AA36" i="1"/>
  <c r="R37" i="1"/>
  <c r="AD37" i="1" s="1"/>
  <c r="P38" i="1"/>
  <c r="AA37" i="1"/>
  <c r="F34" i="1"/>
  <c r="H34" i="1" s="1"/>
  <c r="DE46" i="3" l="1"/>
  <c r="CY45" i="3"/>
  <c r="CZ46" i="3"/>
  <c r="DD47" i="3"/>
  <c r="CS48" i="3"/>
  <c r="CO47" i="3"/>
  <c r="CT44" i="3"/>
  <c r="CN43" i="3"/>
  <c r="CF47" i="3"/>
  <c r="CH48" i="3"/>
  <c r="CI44" i="3"/>
  <c r="CC43" i="3"/>
  <c r="CD45" i="3"/>
  <c r="BA41" i="3"/>
  <c r="Q42" i="3"/>
  <c r="N43" i="3"/>
  <c r="BU51" i="3"/>
  <c r="BW52" i="3"/>
  <c r="AU44" i="3"/>
  <c r="AR45" i="3"/>
  <c r="AK44" i="3"/>
  <c r="AH45" i="3"/>
  <c r="AA44" i="3"/>
  <c r="X45" i="3"/>
  <c r="G42" i="3"/>
  <c r="BA42" i="3" s="1"/>
  <c r="D43" i="3"/>
  <c r="BR47" i="3"/>
  <c r="BX48" i="3"/>
  <c r="BS49" i="3"/>
  <c r="BG48" i="3"/>
  <c r="BM49" i="3"/>
  <c r="BH50" i="3"/>
  <c r="BL51" i="3"/>
  <c r="CT37" i="2"/>
  <c r="CU36" i="2"/>
  <c r="CO52" i="2"/>
  <c r="CJ51" i="2"/>
  <c r="BA51" i="2"/>
  <c r="BC52" i="2"/>
  <c r="CE28" i="2"/>
  <c r="CD29" i="2"/>
  <c r="BT49" i="2"/>
  <c r="BY49" i="2" s="1"/>
  <c r="BO48" i="2"/>
  <c r="BI47" i="2"/>
  <c r="BN49" i="2"/>
  <c r="BJ48" i="2"/>
  <c r="AJ67" i="2"/>
  <c r="AR66" i="2"/>
  <c r="AM66" i="2"/>
  <c r="Z41" i="2"/>
  <c r="AE41" i="2"/>
  <c r="W42" i="2"/>
  <c r="Q43" i="2"/>
  <c r="D41" i="2"/>
  <c r="G41" i="2" s="1"/>
  <c r="X38" i="1"/>
  <c r="AJ48" i="1"/>
  <c r="AP48" i="1" s="1"/>
  <c r="AL47" i="1"/>
  <c r="P39" i="1"/>
  <c r="R38" i="1"/>
  <c r="AD38" i="1" s="1"/>
  <c r="F35" i="1"/>
  <c r="H35" i="1" s="1"/>
  <c r="DD46" i="3" l="1"/>
  <c r="CZ45" i="3"/>
  <c r="CY44" i="3"/>
  <c r="DE45" i="3"/>
  <c r="CT43" i="3"/>
  <c r="CN42" i="3"/>
  <c r="CO46" i="3"/>
  <c r="CS47" i="3"/>
  <c r="CF46" i="3"/>
  <c r="CH47" i="3"/>
  <c r="CD44" i="3"/>
  <c r="CI43" i="3"/>
  <c r="CC42" i="3"/>
  <c r="N44" i="3"/>
  <c r="Q43" i="3"/>
  <c r="BU50" i="3"/>
  <c r="BW51" i="3"/>
  <c r="AU45" i="3"/>
  <c r="AR46" i="3"/>
  <c r="AK45" i="3"/>
  <c r="AH46" i="3"/>
  <c r="X46" i="3"/>
  <c r="AA45" i="3"/>
  <c r="BG47" i="3"/>
  <c r="BM48" i="3"/>
  <c r="BS48" i="3"/>
  <c r="BR46" i="3"/>
  <c r="BX47" i="3"/>
  <c r="D44" i="3"/>
  <c r="G43" i="3"/>
  <c r="BL50" i="3"/>
  <c r="BH49" i="3"/>
  <c r="CJ50" i="2"/>
  <c r="CO51" i="2"/>
  <c r="CU35" i="2"/>
  <c r="CT36" i="2"/>
  <c r="BA50" i="2"/>
  <c r="BC51" i="2"/>
  <c r="CE27" i="2"/>
  <c r="CD28" i="2"/>
  <c r="BT48" i="2"/>
  <c r="BY48" i="2" s="1"/>
  <c r="BN48" i="2"/>
  <c r="BJ47" i="2"/>
  <c r="BI46" i="2"/>
  <c r="BO47" i="2"/>
  <c r="AJ68" i="2"/>
  <c r="AR67" i="2"/>
  <c r="AM67" i="2"/>
  <c r="Z42" i="2"/>
  <c r="AE42" i="2"/>
  <c r="W43" i="2"/>
  <c r="Q44" i="2"/>
  <c r="D42" i="2"/>
  <c r="G42" i="2" s="1"/>
  <c r="X39" i="1"/>
  <c r="AJ49" i="1"/>
  <c r="AP49" i="1" s="1"/>
  <c r="AL48" i="1"/>
  <c r="AA38" i="1"/>
  <c r="R39" i="1"/>
  <c r="AD39" i="1" s="1"/>
  <c r="P40" i="1"/>
  <c r="AA39" i="1"/>
  <c r="F36" i="1"/>
  <c r="H36" i="1" s="1"/>
  <c r="CY43" i="3" l="1"/>
  <c r="DE44" i="3"/>
  <c r="DD45" i="3"/>
  <c r="CZ44" i="3"/>
  <c r="BA43" i="3"/>
  <c r="CS46" i="3"/>
  <c r="CO45" i="3"/>
  <c r="CN41" i="3"/>
  <c r="CT42" i="3"/>
  <c r="CF45" i="3"/>
  <c r="CH46" i="3"/>
  <c r="CD43" i="3"/>
  <c r="CI42" i="3"/>
  <c r="CC41" i="3"/>
  <c r="N45" i="3"/>
  <c r="Q44" i="3"/>
  <c r="BU49" i="3"/>
  <c r="BW50" i="3"/>
  <c r="AR47" i="3"/>
  <c r="AU46" i="3"/>
  <c r="AH47" i="3"/>
  <c r="AK46" i="3"/>
  <c r="X47" i="3"/>
  <c r="AA46" i="3"/>
  <c r="BH48" i="3"/>
  <c r="BL49" i="3"/>
  <c r="BS47" i="3"/>
  <c r="D45" i="3"/>
  <c r="G44" i="3"/>
  <c r="BR45" i="3"/>
  <c r="BX46" i="3"/>
  <c r="BM47" i="3"/>
  <c r="BG46" i="3"/>
  <c r="CJ49" i="2"/>
  <c r="CO50" i="2"/>
  <c r="CU34" i="2"/>
  <c r="CT35" i="2"/>
  <c r="CE26" i="2"/>
  <c r="CD27" i="2"/>
  <c r="BC50" i="2"/>
  <c r="BA49" i="2"/>
  <c r="BT47" i="2"/>
  <c r="BY47" i="2" s="1"/>
  <c r="BO46" i="2"/>
  <c r="BI45" i="2"/>
  <c r="BJ46" i="2"/>
  <c r="BN47" i="2"/>
  <c r="AJ69" i="2"/>
  <c r="AM68" i="2"/>
  <c r="AR68" i="2"/>
  <c r="Z43" i="2"/>
  <c r="AE43" i="2"/>
  <c r="W44" i="2"/>
  <c r="Q45" i="2"/>
  <c r="D43" i="2"/>
  <c r="G43" i="2" s="1"/>
  <c r="X40" i="1"/>
  <c r="AJ50" i="1"/>
  <c r="AP50" i="1" s="1"/>
  <c r="AL49" i="1"/>
  <c r="P41" i="1"/>
  <c r="R40" i="1"/>
  <c r="AD40" i="1" s="1"/>
  <c r="F37" i="1"/>
  <c r="H37" i="1" s="1"/>
  <c r="DE43" i="3" l="1"/>
  <c r="CY42" i="3"/>
  <c r="CZ43" i="3"/>
  <c r="DD44" i="3"/>
  <c r="BA44" i="3"/>
  <c r="CT41" i="3"/>
  <c r="CN40" i="3"/>
  <c r="CS45" i="3"/>
  <c r="CO44" i="3"/>
  <c r="CF44" i="3"/>
  <c r="CH45" i="3"/>
  <c r="CI41" i="3"/>
  <c r="CC40" i="3"/>
  <c r="CD42" i="3"/>
  <c r="N46" i="3"/>
  <c r="Q45" i="3"/>
  <c r="BU48" i="3"/>
  <c r="BW49" i="3"/>
  <c r="AU47" i="3"/>
  <c r="AR48" i="3"/>
  <c r="AK47" i="3"/>
  <c r="AH48" i="3"/>
  <c r="AA47" i="3"/>
  <c r="X48" i="3"/>
  <c r="BS46" i="3"/>
  <c r="BM46" i="3"/>
  <c r="BG45" i="3"/>
  <c r="BL48" i="3"/>
  <c r="BH47" i="3"/>
  <c r="BX45" i="3"/>
  <c r="BR44" i="3"/>
  <c r="D46" i="3"/>
  <c r="G45" i="3"/>
  <c r="CJ48" i="2"/>
  <c r="CO49" i="2"/>
  <c r="CU33" i="2"/>
  <c r="CT34" i="2"/>
  <c r="BC49" i="2"/>
  <c r="BA48" i="2"/>
  <c r="CE25" i="2"/>
  <c r="CD26" i="2"/>
  <c r="BT46" i="2"/>
  <c r="BY46" i="2" s="1"/>
  <c r="BN46" i="2"/>
  <c r="BJ45" i="2"/>
  <c r="BI44" i="2"/>
  <c r="BO45" i="2"/>
  <c r="AJ70" i="2"/>
  <c r="AM69" i="2"/>
  <c r="AR69" i="2"/>
  <c r="AE44" i="2"/>
  <c r="Z44" i="2"/>
  <c r="W45" i="2"/>
  <c r="Q46" i="2"/>
  <c r="D44" i="2"/>
  <c r="G44" i="2" s="1"/>
  <c r="X41" i="1"/>
  <c r="AJ51" i="1"/>
  <c r="AP51" i="1" s="1"/>
  <c r="AL50" i="1"/>
  <c r="P42" i="1"/>
  <c r="R41" i="1"/>
  <c r="AD41" i="1" s="1"/>
  <c r="AA40" i="1"/>
  <c r="F38" i="1"/>
  <c r="H38" i="1" s="1"/>
  <c r="CZ42" i="3" l="1"/>
  <c r="DD43" i="3"/>
  <c r="DE42" i="3"/>
  <c r="CY41" i="3"/>
  <c r="BA45" i="3"/>
  <c r="CS44" i="3"/>
  <c r="CO43" i="3"/>
  <c r="CN39" i="3"/>
  <c r="CT40" i="3"/>
  <c r="CF43" i="3"/>
  <c r="CH44" i="3"/>
  <c r="CD41" i="3"/>
  <c r="CC39" i="3"/>
  <c r="CI40" i="3"/>
  <c r="N47" i="3"/>
  <c r="Q46" i="3"/>
  <c r="BU47" i="3"/>
  <c r="BW48" i="3"/>
  <c r="AU48" i="3"/>
  <c r="AR49" i="3"/>
  <c r="AK48" i="3"/>
  <c r="AH49" i="3"/>
  <c r="X49" i="3"/>
  <c r="AA48" i="3"/>
  <c r="BL47" i="3"/>
  <c r="BH46" i="3"/>
  <c r="BR43" i="3"/>
  <c r="BX44" i="3"/>
  <c r="BG44" i="3"/>
  <c r="BM45" i="3"/>
  <c r="BS45" i="3"/>
  <c r="D47" i="3"/>
  <c r="G46" i="3"/>
  <c r="CJ47" i="2"/>
  <c r="CO48" i="2"/>
  <c r="CU32" i="2"/>
  <c r="CT33" i="2"/>
  <c r="CE24" i="2"/>
  <c r="CD25" i="2"/>
  <c r="BA47" i="2"/>
  <c r="BC48" i="2"/>
  <c r="BT45" i="2"/>
  <c r="BY45" i="2" s="1"/>
  <c r="BI43" i="2"/>
  <c r="BO44" i="2"/>
  <c r="BN45" i="2"/>
  <c r="BJ44" i="2"/>
  <c r="AJ71" i="2"/>
  <c r="AR70" i="2"/>
  <c r="AM70" i="2"/>
  <c r="AE45" i="2"/>
  <c r="Z45" i="2"/>
  <c r="W46" i="2"/>
  <c r="Q47" i="2"/>
  <c r="D45" i="2"/>
  <c r="G45" i="2" s="1"/>
  <c r="X42" i="1"/>
  <c r="AJ52" i="1"/>
  <c r="AP52" i="1" s="1"/>
  <c r="AL51" i="1"/>
  <c r="AA41" i="1"/>
  <c r="R42" i="1"/>
  <c r="AD42" i="1" s="1"/>
  <c r="P43" i="1"/>
  <c r="AA42" i="1"/>
  <c r="F39" i="1"/>
  <c r="H39" i="1" s="1"/>
  <c r="DD42" i="3" l="1"/>
  <c r="CZ41" i="3"/>
  <c r="CY40" i="3"/>
  <c r="DE41" i="3"/>
  <c r="BA46" i="3"/>
  <c r="CN38" i="3"/>
  <c r="CT39" i="3"/>
  <c r="CS43" i="3"/>
  <c r="CO42" i="3"/>
  <c r="CF42" i="3"/>
  <c r="CH43" i="3"/>
  <c r="CI39" i="3"/>
  <c r="CC38" i="3"/>
  <c r="CD40" i="3"/>
  <c r="N48" i="3"/>
  <c r="Q47" i="3"/>
  <c r="BU46" i="3"/>
  <c r="BW47" i="3"/>
  <c r="AU49" i="3"/>
  <c r="AR50" i="3"/>
  <c r="AH50" i="3"/>
  <c r="AK49" i="3"/>
  <c r="X50" i="3"/>
  <c r="AA49" i="3"/>
  <c r="BS44" i="3"/>
  <c r="BM44" i="3"/>
  <c r="BG43" i="3"/>
  <c r="BR42" i="3"/>
  <c r="BX43" i="3"/>
  <c r="G47" i="3"/>
  <c r="D48" i="3"/>
  <c r="BL46" i="3"/>
  <c r="BH45" i="3"/>
  <c r="CJ46" i="2"/>
  <c r="CO47" i="2"/>
  <c r="CU31" i="2"/>
  <c r="CT32" i="2"/>
  <c r="BA46" i="2"/>
  <c r="BC47" i="2"/>
  <c r="CE23" i="2"/>
  <c r="CD24" i="2"/>
  <c r="BT44" i="2"/>
  <c r="BY44" i="2" s="1"/>
  <c r="BJ43" i="2"/>
  <c r="BN44" i="2"/>
  <c r="BO43" i="2"/>
  <c r="BI42" i="2"/>
  <c r="AJ72" i="2"/>
  <c r="AM71" i="2"/>
  <c r="AR71" i="2"/>
  <c r="AE46" i="2"/>
  <c r="Z46" i="2"/>
  <c r="W47" i="2"/>
  <c r="Q48" i="2"/>
  <c r="D46" i="2"/>
  <c r="G46" i="2" s="1"/>
  <c r="X43" i="1"/>
  <c r="AJ53" i="1"/>
  <c r="AP53" i="1" s="1"/>
  <c r="AL52" i="1"/>
  <c r="P44" i="1"/>
  <c r="R43" i="1"/>
  <c r="AD43" i="1" s="1"/>
  <c r="F40" i="1"/>
  <c r="H40" i="1" s="1"/>
  <c r="CY39" i="3" l="1"/>
  <c r="DE40" i="3"/>
  <c r="DD41" i="3"/>
  <c r="CZ40" i="3"/>
  <c r="BA47" i="3"/>
  <c r="CO41" i="3"/>
  <c r="CS42" i="3"/>
  <c r="CT38" i="3"/>
  <c r="CN37" i="3"/>
  <c r="CF41" i="3"/>
  <c r="CH42" i="3"/>
  <c r="CD39" i="3"/>
  <c r="CI38" i="3"/>
  <c r="CC37" i="3"/>
  <c r="Q48" i="3"/>
  <c r="N49" i="3"/>
  <c r="BU45" i="3"/>
  <c r="BW46" i="3"/>
  <c r="AR51" i="3"/>
  <c r="AU50" i="3"/>
  <c r="AH51" i="3"/>
  <c r="AK50" i="3"/>
  <c r="X51" i="3"/>
  <c r="AA50" i="3"/>
  <c r="BG42" i="3"/>
  <c r="BM43" i="3"/>
  <c r="BR41" i="3"/>
  <c r="BX42" i="3"/>
  <c r="BS43" i="3"/>
  <c r="BH44" i="3"/>
  <c r="BL45" i="3"/>
  <c r="G48" i="3"/>
  <c r="D49" i="3"/>
  <c r="CU30" i="2"/>
  <c r="CT31" i="2"/>
  <c r="CJ45" i="2"/>
  <c r="CO46" i="2"/>
  <c r="CE22" i="2"/>
  <c r="CD23" i="2"/>
  <c r="BC46" i="2"/>
  <c r="BA45" i="2"/>
  <c r="BT43" i="2"/>
  <c r="BY43" i="2" s="1"/>
  <c r="BI41" i="2"/>
  <c r="BO42" i="2"/>
  <c r="BN43" i="2"/>
  <c r="BJ42" i="2"/>
  <c r="AJ73" i="2"/>
  <c r="AM72" i="2"/>
  <c r="AR72" i="2"/>
  <c r="AE47" i="2"/>
  <c r="Z47" i="2"/>
  <c r="W48" i="2"/>
  <c r="Q49" i="2"/>
  <c r="D47" i="2"/>
  <c r="G47" i="2" s="1"/>
  <c r="X44" i="1"/>
  <c r="AJ54" i="1"/>
  <c r="AP54" i="1" s="1"/>
  <c r="AL53" i="1"/>
  <c r="P45" i="1"/>
  <c r="R44" i="1"/>
  <c r="AD44" i="1" s="1"/>
  <c r="AA43" i="1"/>
  <c r="F41" i="1"/>
  <c r="H41" i="1" s="1"/>
  <c r="DE39" i="3" l="1"/>
  <c r="CY38" i="3"/>
  <c r="DD40" i="3"/>
  <c r="CZ39" i="3"/>
  <c r="BA48" i="3"/>
  <c r="CN36" i="3"/>
  <c r="CT37" i="3"/>
  <c r="CS41" i="3"/>
  <c r="CO40" i="3"/>
  <c r="CF40" i="3"/>
  <c r="CH41" i="3"/>
  <c r="CD38" i="3"/>
  <c r="CC36" i="3"/>
  <c r="CI37" i="3"/>
  <c r="Q49" i="3"/>
  <c r="N50" i="3"/>
  <c r="BU44" i="3"/>
  <c r="BW45" i="3"/>
  <c r="AR52" i="3"/>
  <c r="AU51" i="3"/>
  <c r="AH52" i="3"/>
  <c r="AK51" i="3"/>
  <c r="AA51" i="3"/>
  <c r="X52" i="3"/>
  <c r="BH43" i="3"/>
  <c r="BL44" i="3"/>
  <c r="BX41" i="3"/>
  <c r="BR40" i="3"/>
  <c r="BS42" i="3"/>
  <c r="BG41" i="3"/>
  <c r="BM42" i="3"/>
  <c r="D50" i="3"/>
  <c r="G49" i="3"/>
  <c r="CJ44" i="2"/>
  <c r="CO45" i="2"/>
  <c r="CU29" i="2"/>
  <c r="CT30" i="2"/>
  <c r="BC45" i="2"/>
  <c r="BA44" i="2"/>
  <c r="CE21" i="2"/>
  <c r="CD22" i="2"/>
  <c r="BT42" i="2"/>
  <c r="BY42" i="2" s="1"/>
  <c r="BJ41" i="2"/>
  <c r="BN42" i="2"/>
  <c r="BI40" i="2"/>
  <c r="BO41" i="2"/>
  <c r="AJ74" i="2"/>
  <c r="AM73" i="2"/>
  <c r="AR73" i="2"/>
  <c r="Z48" i="2"/>
  <c r="AE48" i="2"/>
  <c r="W49" i="2"/>
  <c r="Q50" i="2"/>
  <c r="D48" i="2"/>
  <c r="G48" i="2" s="1"/>
  <c r="X45" i="1"/>
  <c r="AJ55" i="1"/>
  <c r="AP55" i="1" s="1"/>
  <c r="AL54" i="1"/>
  <c r="AA44" i="1"/>
  <c r="P46" i="1"/>
  <c r="R45" i="1"/>
  <c r="AD45" i="1" s="1"/>
  <c r="F42" i="1"/>
  <c r="H42" i="1" s="1"/>
  <c r="DD39" i="3" l="1"/>
  <c r="CZ38" i="3"/>
  <c r="DE38" i="3"/>
  <c r="CY37" i="3"/>
  <c r="BA49" i="3"/>
  <c r="CO39" i="3"/>
  <c r="CS40" i="3"/>
  <c r="CN35" i="3"/>
  <c r="CT36" i="3"/>
  <c r="CF39" i="3"/>
  <c r="CH40" i="3"/>
  <c r="CI36" i="3"/>
  <c r="CC35" i="3"/>
  <c r="CD37" i="3"/>
  <c r="Q50" i="3"/>
  <c r="N51" i="3"/>
  <c r="BU43" i="3"/>
  <c r="BW44" i="3"/>
  <c r="AU52" i="3"/>
  <c r="AR53" i="3"/>
  <c r="AK52" i="3"/>
  <c r="AH53" i="3"/>
  <c r="X53" i="3"/>
  <c r="AA52" i="3"/>
  <c r="BH42" i="3"/>
  <c r="BL43" i="3"/>
  <c r="BM41" i="3"/>
  <c r="BG40" i="3"/>
  <c r="BS41" i="3"/>
  <c r="D51" i="3"/>
  <c r="G50" i="3"/>
  <c r="BR39" i="3"/>
  <c r="BX40" i="3"/>
  <c r="CU28" i="2"/>
  <c r="CT29" i="2"/>
  <c r="CJ43" i="2"/>
  <c r="CO44" i="2"/>
  <c r="BA43" i="2"/>
  <c r="BC44" i="2"/>
  <c r="CE20" i="2"/>
  <c r="CD21" i="2"/>
  <c r="BT41" i="2"/>
  <c r="BY41" i="2" s="1"/>
  <c r="BO40" i="2"/>
  <c r="BI39" i="2"/>
  <c r="BJ40" i="2"/>
  <c r="BN41" i="2"/>
  <c r="AJ75" i="2"/>
  <c r="AM74" i="2"/>
  <c r="AR74" i="2"/>
  <c r="Z49" i="2"/>
  <c r="AE49" i="2"/>
  <c r="W50" i="2"/>
  <c r="Q51" i="2"/>
  <c r="D49" i="2"/>
  <c r="G49" i="2" s="1"/>
  <c r="X46" i="1"/>
  <c r="AJ56" i="1"/>
  <c r="AP56" i="1" s="1"/>
  <c r="AL55" i="1"/>
  <c r="P47" i="1"/>
  <c r="R46" i="1"/>
  <c r="AD46" i="1" s="1"/>
  <c r="AA45" i="1"/>
  <c r="F43" i="1"/>
  <c r="H43" i="1" s="1"/>
  <c r="DE37" i="3" l="1"/>
  <c r="CY36" i="3"/>
  <c r="DD38" i="3"/>
  <c r="CZ37" i="3"/>
  <c r="BA50" i="3"/>
  <c r="CS39" i="3"/>
  <c r="CO38" i="3"/>
  <c r="CN34" i="3"/>
  <c r="CT35" i="3"/>
  <c r="CF38" i="3"/>
  <c r="CH39" i="3"/>
  <c r="CD36" i="3"/>
  <c r="CC34" i="3"/>
  <c r="CI35" i="3"/>
  <c r="Q51" i="3"/>
  <c r="N52" i="3"/>
  <c r="BU42" i="3"/>
  <c r="BW43" i="3"/>
  <c r="AR54" i="3"/>
  <c r="AU53" i="3"/>
  <c r="AH54" i="3"/>
  <c r="AK53" i="3"/>
  <c r="X54" i="3"/>
  <c r="AA53" i="3"/>
  <c r="G51" i="3"/>
  <c r="BA51" i="3" s="1"/>
  <c r="D52" i="3"/>
  <c r="BS40" i="3"/>
  <c r="BM40" i="3"/>
  <c r="BG39" i="3"/>
  <c r="BX39" i="3"/>
  <c r="BR38" i="3"/>
  <c r="BH41" i="3"/>
  <c r="BL42" i="3"/>
  <c r="CJ42" i="2"/>
  <c r="CO43" i="2"/>
  <c r="CU27" i="2"/>
  <c r="CT28" i="2"/>
  <c r="CE19" i="2"/>
  <c r="CD20" i="2"/>
  <c r="BA42" i="2"/>
  <c r="BC43" i="2"/>
  <c r="BT40" i="2"/>
  <c r="BY40" i="2" s="1"/>
  <c r="BN40" i="2"/>
  <c r="BJ39" i="2"/>
  <c r="BI38" i="2"/>
  <c r="BO39" i="2"/>
  <c r="AJ76" i="2"/>
  <c r="AM75" i="2"/>
  <c r="AR75" i="2"/>
  <c r="AE50" i="2"/>
  <c r="Z50" i="2"/>
  <c r="W51" i="2"/>
  <c r="Q52" i="2"/>
  <c r="D50" i="2"/>
  <c r="G50" i="2" s="1"/>
  <c r="X47" i="1"/>
  <c r="AJ57" i="1"/>
  <c r="AP57" i="1" s="1"/>
  <c r="AL56" i="1"/>
  <c r="AA46" i="1"/>
  <c r="R47" i="1"/>
  <c r="AD47" i="1" s="1"/>
  <c r="P48" i="1"/>
  <c r="AA47" i="1"/>
  <c r="F44" i="1"/>
  <c r="H44" i="1" s="1"/>
  <c r="DD37" i="3" l="1"/>
  <c r="CZ36" i="3"/>
  <c r="CY35" i="3"/>
  <c r="DE36" i="3"/>
  <c r="CT34" i="3"/>
  <c r="CN33" i="3"/>
  <c r="CS38" i="3"/>
  <c r="CO37" i="3"/>
  <c r="CF37" i="3"/>
  <c r="CH38" i="3"/>
  <c r="CD35" i="3"/>
  <c r="CC33" i="3"/>
  <c r="CI34" i="3"/>
  <c r="Q52" i="3"/>
  <c r="N53" i="3"/>
  <c r="BU41" i="3"/>
  <c r="BW42" i="3"/>
  <c r="AU54" i="3"/>
  <c r="AR55" i="3"/>
  <c r="AK54" i="3"/>
  <c r="AH55" i="3"/>
  <c r="AA54" i="3"/>
  <c r="X55" i="3"/>
  <c r="BM39" i="3"/>
  <c r="BG38" i="3"/>
  <c r="BS39" i="3"/>
  <c r="BL41" i="3"/>
  <c r="BH40" i="3"/>
  <c r="BX38" i="3"/>
  <c r="BR37" i="3"/>
  <c r="D53" i="3"/>
  <c r="G52" i="3"/>
  <c r="CU26" i="2"/>
  <c r="CT27" i="2"/>
  <c r="CJ41" i="2"/>
  <c r="CO42" i="2"/>
  <c r="BA41" i="2"/>
  <c r="BC42" i="2"/>
  <c r="CE18" i="2"/>
  <c r="CD19" i="2"/>
  <c r="BT39" i="2"/>
  <c r="BY39" i="2" s="1"/>
  <c r="BI37" i="2"/>
  <c r="BO38" i="2"/>
  <c r="BJ38" i="2"/>
  <c r="BN39" i="2"/>
  <c r="AJ77" i="2"/>
  <c r="AM76" i="2"/>
  <c r="AR76" i="2"/>
  <c r="AE51" i="2"/>
  <c r="Z51" i="2"/>
  <c r="W52" i="2"/>
  <c r="Q53" i="2"/>
  <c r="D51" i="2"/>
  <c r="G51" i="2" s="1"/>
  <c r="X48" i="1"/>
  <c r="AJ58" i="1"/>
  <c r="AP58" i="1" s="1"/>
  <c r="AL57" i="1"/>
  <c r="P49" i="1"/>
  <c r="R48" i="1"/>
  <c r="AD48" i="1" s="1"/>
  <c r="F45" i="1"/>
  <c r="H45" i="1" s="1"/>
  <c r="CY34" i="3" l="1"/>
  <c r="DE35" i="3"/>
  <c r="DD36" i="3"/>
  <c r="CZ35" i="3"/>
  <c r="CO36" i="3"/>
  <c r="CS37" i="3"/>
  <c r="CT33" i="3"/>
  <c r="CN32" i="3"/>
  <c r="CF36" i="3"/>
  <c r="CH37" i="3"/>
  <c r="CI33" i="3"/>
  <c r="CC32" i="3"/>
  <c r="CD34" i="3"/>
  <c r="BA52" i="3"/>
  <c r="N54" i="3"/>
  <c r="Q53" i="3"/>
  <c r="BU40" i="3"/>
  <c r="BW41" i="3"/>
  <c r="AU55" i="3"/>
  <c r="AR56" i="3"/>
  <c r="AH56" i="3"/>
  <c r="AK55" i="3"/>
  <c r="AA55" i="3"/>
  <c r="X56" i="3"/>
  <c r="BS38" i="3"/>
  <c r="BR36" i="3"/>
  <c r="BX37" i="3"/>
  <c r="BL40" i="3"/>
  <c r="BH39" i="3"/>
  <c r="BG37" i="3"/>
  <c r="BM38" i="3"/>
  <c r="G53" i="3"/>
  <c r="D54" i="3"/>
  <c r="CJ40" i="2"/>
  <c r="CO41" i="2"/>
  <c r="CU25" i="2"/>
  <c r="CT26" i="2"/>
  <c r="CE17" i="2"/>
  <c r="CD18" i="2"/>
  <c r="BA40" i="2"/>
  <c r="BC41" i="2"/>
  <c r="BT38" i="2"/>
  <c r="BY38" i="2" s="1"/>
  <c r="BJ37" i="2"/>
  <c r="BN38" i="2"/>
  <c r="BO37" i="2"/>
  <c r="BI36" i="2"/>
  <c r="AJ78" i="2"/>
  <c r="AR77" i="2"/>
  <c r="AM77" i="2"/>
  <c r="AE52" i="2"/>
  <c r="Z52" i="2"/>
  <c r="W53" i="2"/>
  <c r="Q54" i="2"/>
  <c r="D52" i="2"/>
  <c r="G52" i="2" s="1"/>
  <c r="X49" i="1"/>
  <c r="AJ59" i="1"/>
  <c r="AP59" i="1" s="1"/>
  <c r="AL58" i="1"/>
  <c r="P50" i="1"/>
  <c r="R49" i="1"/>
  <c r="AD49" i="1" s="1"/>
  <c r="AA48" i="1"/>
  <c r="F46" i="1"/>
  <c r="H46" i="1" s="1"/>
  <c r="DE34" i="3" l="1"/>
  <c r="CY33" i="3"/>
  <c r="DD35" i="3"/>
  <c r="CZ34" i="3"/>
  <c r="BA53" i="3"/>
  <c r="CN31" i="3"/>
  <c r="CT32" i="3"/>
  <c r="CS36" i="3"/>
  <c r="CO35" i="3"/>
  <c r="CF35" i="3"/>
  <c r="CH36" i="3"/>
  <c r="CD33" i="3"/>
  <c r="CC31" i="3"/>
  <c r="CI32" i="3"/>
  <c r="N55" i="3"/>
  <c r="Q54" i="3"/>
  <c r="BU39" i="3"/>
  <c r="BW40" i="3"/>
  <c r="AR57" i="3"/>
  <c r="AU56" i="3"/>
  <c r="AH57" i="3"/>
  <c r="AK56" i="3"/>
  <c r="X57" i="3"/>
  <c r="AA56" i="3"/>
  <c r="BL39" i="3"/>
  <c r="BH38" i="3"/>
  <c r="BR35" i="3"/>
  <c r="BX36" i="3"/>
  <c r="BS37" i="3"/>
  <c r="D55" i="3"/>
  <c r="G54" i="3"/>
  <c r="BG36" i="3"/>
  <c r="BM37" i="3"/>
  <c r="CU24" i="2"/>
  <c r="CT25" i="2"/>
  <c r="CO40" i="2"/>
  <c r="CJ39" i="2"/>
  <c r="BA39" i="2"/>
  <c r="BC40" i="2"/>
  <c r="CE16" i="2"/>
  <c r="CD17" i="2"/>
  <c r="BT37" i="2"/>
  <c r="BY37" i="2" s="1"/>
  <c r="BI35" i="2"/>
  <c r="BO36" i="2"/>
  <c r="BN37" i="2"/>
  <c r="BJ36" i="2"/>
  <c r="AJ79" i="2"/>
  <c r="AM78" i="2"/>
  <c r="AR78" i="2"/>
  <c r="Z53" i="2"/>
  <c r="AE53" i="2"/>
  <c r="W54" i="2"/>
  <c r="Q55" i="2"/>
  <c r="D53" i="2"/>
  <c r="G53" i="2" s="1"/>
  <c r="X50" i="1"/>
  <c r="AJ60" i="1"/>
  <c r="AP60" i="1" s="1"/>
  <c r="AL59" i="1"/>
  <c r="P51" i="1"/>
  <c r="R50" i="1"/>
  <c r="AD50" i="1" s="1"/>
  <c r="AA49" i="1"/>
  <c r="F47" i="1"/>
  <c r="H47" i="1" s="1"/>
  <c r="DD34" i="3" l="1"/>
  <c r="CZ33" i="3"/>
  <c r="CY32" i="3"/>
  <c r="DE33" i="3"/>
  <c r="BA54" i="3"/>
  <c r="CS35" i="3"/>
  <c r="CO34" i="3"/>
  <c r="CT31" i="3"/>
  <c r="CN30" i="3"/>
  <c r="CF34" i="3"/>
  <c r="CH35" i="3"/>
  <c r="CD32" i="3"/>
  <c r="CC30" i="3"/>
  <c r="CI31" i="3"/>
  <c r="N56" i="3"/>
  <c r="Q55" i="3"/>
  <c r="BU38" i="3"/>
  <c r="BW39" i="3"/>
  <c r="AU57" i="3"/>
  <c r="AR58" i="3"/>
  <c r="AK57" i="3"/>
  <c r="AH58" i="3"/>
  <c r="AA57" i="3"/>
  <c r="X58" i="3"/>
  <c r="BS36" i="3"/>
  <c r="G55" i="3"/>
  <c r="D56" i="3"/>
  <c r="BH37" i="3"/>
  <c r="BL38" i="3"/>
  <c r="BG35" i="3"/>
  <c r="BM36" i="3"/>
  <c r="BX35" i="3"/>
  <c r="BR34" i="3"/>
  <c r="CJ38" i="2"/>
  <c r="CO39" i="2"/>
  <c r="CU23" i="2"/>
  <c r="CT24" i="2"/>
  <c r="CE15" i="2"/>
  <c r="CD16" i="2"/>
  <c r="BC39" i="2"/>
  <c r="BA38" i="2"/>
  <c r="BT36" i="2"/>
  <c r="BY36" i="2" s="1"/>
  <c r="BJ35" i="2"/>
  <c r="BN36" i="2"/>
  <c r="BO35" i="2"/>
  <c r="BI34" i="2"/>
  <c r="AJ80" i="2"/>
  <c r="AM79" i="2"/>
  <c r="AR79" i="2"/>
  <c r="AE54" i="2"/>
  <c r="Z54" i="2"/>
  <c r="W55" i="2"/>
  <c r="Q56" i="2"/>
  <c r="D54" i="2"/>
  <c r="G54" i="2" s="1"/>
  <c r="X51" i="1"/>
  <c r="AJ61" i="1"/>
  <c r="AP61" i="1" s="1"/>
  <c r="AL60" i="1"/>
  <c r="P52" i="1"/>
  <c r="R51" i="1"/>
  <c r="AD51" i="1" s="1"/>
  <c r="AA50" i="1"/>
  <c r="F48" i="1"/>
  <c r="H48" i="1" s="1"/>
  <c r="DE32" i="3" l="1"/>
  <c r="CY31" i="3"/>
  <c r="CZ32" i="3"/>
  <c r="DD33" i="3"/>
  <c r="BA55" i="3"/>
  <c r="CN29" i="3"/>
  <c r="CT30" i="3"/>
  <c r="CS34" i="3"/>
  <c r="CO33" i="3"/>
  <c r="CF33" i="3"/>
  <c r="CH34" i="3"/>
  <c r="CI30" i="3"/>
  <c r="CC29" i="3"/>
  <c r="CD31" i="3"/>
  <c r="N57" i="3"/>
  <c r="Q56" i="3"/>
  <c r="BU37" i="3"/>
  <c r="BW38" i="3"/>
  <c r="AU58" i="3"/>
  <c r="AR59" i="3"/>
  <c r="AK58" i="3"/>
  <c r="AH59" i="3"/>
  <c r="X59" i="3"/>
  <c r="AA58" i="3"/>
  <c r="BS35" i="3"/>
  <c r="BR33" i="3"/>
  <c r="BX34" i="3"/>
  <c r="BM35" i="3"/>
  <c r="BG34" i="3"/>
  <c r="BL37" i="3"/>
  <c r="BH36" i="3"/>
  <c r="G56" i="3"/>
  <c r="D57" i="3"/>
  <c r="CU22" i="2"/>
  <c r="CT23" i="2"/>
  <c r="CO38" i="2"/>
  <c r="CJ37" i="2"/>
  <c r="BA37" i="2"/>
  <c r="BC38" i="2"/>
  <c r="CE14" i="2"/>
  <c r="CD15" i="2"/>
  <c r="BT35" i="2"/>
  <c r="BY35" i="2" s="1"/>
  <c r="BO34" i="2"/>
  <c r="BI33" i="2"/>
  <c r="BJ34" i="2"/>
  <c r="BN35" i="2"/>
  <c r="AJ81" i="2"/>
  <c r="AM80" i="2"/>
  <c r="AR80" i="2"/>
  <c r="AE55" i="2"/>
  <c r="Z55" i="2"/>
  <c r="W56" i="2"/>
  <c r="Q57" i="2"/>
  <c r="D55" i="2"/>
  <c r="G55" i="2" s="1"/>
  <c r="X52" i="1"/>
  <c r="AJ62" i="1"/>
  <c r="AP62" i="1" s="1"/>
  <c r="AL61" i="1"/>
  <c r="AA51" i="1"/>
  <c r="R52" i="1"/>
  <c r="AD52" i="1" s="1"/>
  <c r="AA52" i="1"/>
  <c r="P53" i="1"/>
  <c r="F49" i="1"/>
  <c r="H49" i="1" s="1"/>
  <c r="DD32" i="3" l="1"/>
  <c r="CZ31" i="3"/>
  <c r="DE31" i="3"/>
  <c r="CY30" i="3"/>
  <c r="BA56" i="3"/>
  <c r="CS33" i="3"/>
  <c r="CO32" i="3"/>
  <c r="CN28" i="3"/>
  <c r="CT29" i="3"/>
  <c r="CF32" i="3"/>
  <c r="CH33" i="3"/>
  <c r="CD30" i="3"/>
  <c r="CC28" i="3"/>
  <c r="CI29" i="3"/>
  <c r="Q57" i="3"/>
  <c r="N58" i="3"/>
  <c r="BU36" i="3"/>
  <c r="BW37" i="3"/>
  <c r="AU59" i="3"/>
  <c r="AR60" i="3"/>
  <c r="AH60" i="3"/>
  <c r="AK59" i="3"/>
  <c r="AA59" i="3"/>
  <c r="X60" i="3"/>
  <c r="BH35" i="3"/>
  <c r="BL36" i="3"/>
  <c r="D58" i="3"/>
  <c r="G57" i="3"/>
  <c r="BG33" i="3"/>
  <c r="BM34" i="3"/>
  <c r="BR32" i="3"/>
  <c r="BX33" i="3"/>
  <c r="BS34" i="3"/>
  <c r="CJ36" i="2"/>
  <c r="CO37" i="2"/>
  <c r="CU21" i="2"/>
  <c r="CT22" i="2"/>
  <c r="CE13" i="2"/>
  <c r="CD14" i="2"/>
  <c r="BC37" i="2"/>
  <c r="BA36" i="2"/>
  <c r="BT34" i="2"/>
  <c r="BY34" i="2" s="1"/>
  <c r="BN34" i="2"/>
  <c r="BJ33" i="2"/>
  <c r="BI32" i="2"/>
  <c r="BO33" i="2"/>
  <c r="AJ82" i="2"/>
  <c r="AM81" i="2"/>
  <c r="AR81" i="2"/>
  <c r="AE56" i="2"/>
  <c r="Z56" i="2"/>
  <c r="W57" i="2"/>
  <c r="Q58" i="2"/>
  <c r="D56" i="2"/>
  <c r="G56" i="2" s="1"/>
  <c r="X53" i="1"/>
  <c r="AJ63" i="1"/>
  <c r="AP63" i="1" s="1"/>
  <c r="AL62" i="1"/>
  <c r="P54" i="1"/>
  <c r="R53" i="1"/>
  <c r="AD53" i="1" s="1"/>
  <c r="F50" i="1"/>
  <c r="H50" i="1" s="1"/>
  <c r="CY29" i="3" l="1"/>
  <c r="DE30" i="3"/>
  <c r="DD31" i="3"/>
  <c r="CZ30" i="3"/>
  <c r="BA57" i="3"/>
  <c r="CT28" i="3"/>
  <c r="CN27" i="3"/>
  <c r="CO31" i="3"/>
  <c r="CS32" i="3"/>
  <c r="CF31" i="3"/>
  <c r="CH32" i="3"/>
  <c r="CD29" i="3"/>
  <c r="CI28" i="3"/>
  <c r="CC27" i="3"/>
  <c r="N59" i="3"/>
  <c r="Q58" i="3"/>
  <c r="BU35" i="3"/>
  <c r="BW36" i="3"/>
  <c r="AR61" i="3"/>
  <c r="AU60" i="3"/>
  <c r="AH61" i="3"/>
  <c r="AK60" i="3"/>
  <c r="X61" i="3"/>
  <c r="AA60" i="3"/>
  <c r="D59" i="3"/>
  <c r="G58" i="3"/>
  <c r="BX32" i="3"/>
  <c r="BR31" i="3"/>
  <c r="BM33" i="3"/>
  <c r="BG32" i="3"/>
  <c r="BS33" i="3"/>
  <c r="BL35" i="3"/>
  <c r="BH34" i="3"/>
  <c r="CU20" i="2"/>
  <c r="CT21" i="2"/>
  <c r="CO36" i="2"/>
  <c r="CJ35" i="2"/>
  <c r="CE12" i="2"/>
  <c r="CD13" i="2"/>
  <c r="BC36" i="2"/>
  <c r="BA35" i="2"/>
  <c r="BT33" i="2"/>
  <c r="BY33" i="2" s="1"/>
  <c r="BO32" i="2"/>
  <c r="BI31" i="2"/>
  <c r="BJ32" i="2"/>
  <c r="BN33" i="2"/>
  <c r="AJ83" i="2"/>
  <c r="AM82" i="2"/>
  <c r="AR82" i="2"/>
  <c r="AE57" i="2"/>
  <c r="Z57" i="2"/>
  <c r="W58" i="2"/>
  <c r="Q59" i="2"/>
  <c r="D57" i="2"/>
  <c r="G57" i="2" s="1"/>
  <c r="X54" i="1"/>
  <c r="AJ64" i="1"/>
  <c r="AP64" i="1" s="1"/>
  <c r="AL63" i="1"/>
  <c r="AA53" i="1"/>
  <c r="P55" i="1"/>
  <c r="R54" i="1"/>
  <c r="AD54" i="1" s="1"/>
  <c r="F51" i="1"/>
  <c r="H51" i="1" s="1"/>
  <c r="DE29" i="3" l="1"/>
  <c r="CY28" i="3"/>
  <c r="CZ29" i="3"/>
  <c r="DD30" i="3"/>
  <c r="BA58" i="3"/>
  <c r="CN26" i="3"/>
  <c r="CT27" i="3"/>
  <c r="CS31" i="3"/>
  <c r="CO30" i="3"/>
  <c r="CF30" i="3"/>
  <c r="CH31" i="3"/>
  <c r="CI27" i="3"/>
  <c r="CC26" i="3"/>
  <c r="CD28" i="3"/>
  <c r="Q59" i="3"/>
  <c r="N60" i="3"/>
  <c r="BU34" i="3"/>
  <c r="BW35" i="3"/>
  <c r="AR62" i="3"/>
  <c r="AU61" i="3"/>
  <c r="AK61" i="3"/>
  <c r="AH62" i="3"/>
  <c r="AA61" i="3"/>
  <c r="X62" i="3"/>
  <c r="BS32" i="3"/>
  <c r="BR30" i="3"/>
  <c r="BX31" i="3"/>
  <c r="G59" i="3"/>
  <c r="D60" i="3"/>
  <c r="BG31" i="3"/>
  <c r="BM32" i="3"/>
  <c r="BL34" i="3"/>
  <c r="BH33" i="3"/>
  <c r="CJ34" i="2"/>
  <c r="CO35" i="2"/>
  <c r="CU19" i="2"/>
  <c r="CT20" i="2"/>
  <c r="CE11" i="2"/>
  <c r="CD12" i="2"/>
  <c r="BA34" i="2"/>
  <c r="BC35" i="2"/>
  <c r="BT32" i="2"/>
  <c r="BY32" i="2" s="1"/>
  <c r="BN32" i="2"/>
  <c r="BJ31" i="2"/>
  <c r="BO31" i="2"/>
  <c r="BI30" i="2"/>
  <c r="AJ84" i="2"/>
  <c r="AM83" i="2"/>
  <c r="AR83" i="2"/>
  <c r="Z58" i="2"/>
  <c r="AE58" i="2"/>
  <c r="W59" i="2"/>
  <c r="Q60" i="2"/>
  <c r="D58" i="2"/>
  <c r="X55" i="1"/>
  <c r="AJ65" i="1"/>
  <c r="AP65" i="1" s="1"/>
  <c r="AL64" i="1"/>
  <c r="AA54" i="1"/>
  <c r="P56" i="1"/>
  <c r="R55" i="1"/>
  <c r="AD55" i="1" s="1"/>
  <c r="F52" i="1"/>
  <c r="H52" i="1" s="1"/>
  <c r="DD29" i="3" l="1"/>
  <c r="CZ28" i="3"/>
  <c r="DE28" i="3"/>
  <c r="CY27" i="3"/>
  <c r="CO29" i="3"/>
  <c r="CS30" i="3"/>
  <c r="CN25" i="3"/>
  <c r="CT26" i="3"/>
  <c r="CF29" i="3"/>
  <c r="CH30" i="3"/>
  <c r="CD27" i="3"/>
  <c r="CC25" i="3"/>
  <c r="CI26" i="3"/>
  <c r="BA59" i="3"/>
  <c r="N61" i="3"/>
  <c r="Q60" i="3"/>
  <c r="BU33" i="3"/>
  <c r="BW34" i="3"/>
  <c r="AU62" i="3"/>
  <c r="AR63" i="3"/>
  <c r="AH63" i="3"/>
  <c r="AK62" i="3"/>
  <c r="X63" i="3"/>
  <c r="AA62" i="3"/>
  <c r="BL33" i="3"/>
  <c r="BH32" i="3"/>
  <c r="BS31" i="3"/>
  <c r="BG30" i="3"/>
  <c r="BM31" i="3"/>
  <c r="D61" i="3"/>
  <c r="G60" i="3"/>
  <c r="BX30" i="3"/>
  <c r="BR29" i="3"/>
  <c r="CU18" i="2"/>
  <c r="CT19" i="2"/>
  <c r="CO34" i="2"/>
  <c r="CJ33" i="2"/>
  <c r="BA33" i="2"/>
  <c r="BC34" i="2"/>
  <c r="CE10" i="2"/>
  <c r="CD11" i="2"/>
  <c r="BT31" i="2"/>
  <c r="BY31" i="2" s="1"/>
  <c r="BI29" i="2"/>
  <c r="BO30" i="2"/>
  <c r="BN31" i="2"/>
  <c r="BJ30" i="2"/>
  <c r="AR84" i="2"/>
  <c r="AM84" i="2"/>
  <c r="Z59" i="2"/>
  <c r="AE59" i="2"/>
  <c r="W60" i="2"/>
  <c r="D59" i="2"/>
  <c r="G58" i="2"/>
  <c r="Q61" i="2"/>
  <c r="X56" i="1"/>
  <c r="AJ66" i="1"/>
  <c r="AP66" i="1" s="1"/>
  <c r="AL65" i="1"/>
  <c r="P57" i="1"/>
  <c r="R56" i="1"/>
  <c r="AD56" i="1" s="1"/>
  <c r="AA55" i="1"/>
  <c r="F53" i="1"/>
  <c r="H53" i="1" s="1"/>
  <c r="CY26" i="3" l="1"/>
  <c r="DE27" i="3"/>
  <c r="DD28" i="3"/>
  <c r="CZ27" i="3"/>
  <c r="BA60" i="3"/>
  <c r="CN24" i="3"/>
  <c r="CT25" i="3"/>
  <c r="CO28" i="3"/>
  <c r="CS29" i="3"/>
  <c r="CF28" i="3"/>
  <c r="CH29" i="3"/>
  <c r="CI25" i="3"/>
  <c r="CC24" i="3"/>
  <c r="CD26" i="3"/>
  <c r="Q61" i="3"/>
  <c r="N62" i="3"/>
  <c r="BU32" i="3"/>
  <c r="BW33" i="3"/>
  <c r="AR64" i="3"/>
  <c r="AU63" i="3"/>
  <c r="AH64" i="3"/>
  <c r="AK63" i="3"/>
  <c r="X64" i="3"/>
  <c r="AA63" i="3"/>
  <c r="BX29" i="3"/>
  <c r="BR28" i="3"/>
  <c r="D62" i="3"/>
  <c r="G61" i="3"/>
  <c r="BM30" i="3"/>
  <c r="BG29" i="3"/>
  <c r="BS30" i="3"/>
  <c r="BH31" i="3"/>
  <c r="BL32" i="3"/>
  <c r="CJ32" i="2"/>
  <c r="CO33" i="2"/>
  <c r="CU17" i="2"/>
  <c r="CT18" i="2"/>
  <c r="CE9" i="2"/>
  <c r="CD9" i="2" s="1"/>
  <c r="CD10" i="2"/>
  <c r="BA32" i="2"/>
  <c r="BC33" i="2"/>
  <c r="BT30" i="2"/>
  <c r="BY30" i="2" s="1"/>
  <c r="BJ29" i="2"/>
  <c r="BN30" i="2"/>
  <c r="BO29" i="2"/>
  <c r="BI28" i="2"/>
  <c r="Z60" i="2"/>
  <c r="AE60" i="2"/>
  <c r="W61" i="2"/>
  <c r="G59" i="2"/>
  <c r="D60" i="2"/>
  <c r="Q62" i="2"/>
  <c r="X57" i="1"/>
  <c r="AJ67" i="1"/>
  <c r="AP67" i="1" s="1"/>
  <c r="AL66" i="1"/>
  <c r="AA56" i="1"/>
  <c r="R57" i="1"/>
  <c r="AD57" i="1" s="1"/>
  <c r="AA57" i="1"/>
  <c r="P58" i="1"/>
  <c r="F54" i="1"/>
  <c r="H54" i="1" s="1"/>
  <c r="DE26" i="3" l="1"/>
  <c r="CY25" i="3"/>
  <c r="CZ26" i="3"/>
  <c r="DD27" i="3"/>
  <c r="CS28" i="3"/>
  <c r="CO27" i="3"/>
  <c r="CT24" i="3"/>
  <c r="CN23" i="3"/>
  <c r="CF27" i="3"/>
  <c r="CH28" i="3"/>
  <c r="CD25" i="3"/>
  <c r="CI24" i="3"/>
  <c r="CC23" i="3"/>
  <c r="BA61" i="3"/>
  <c r="Q62" i="3"/>
  <c r="N63" i="3"/>
  <c r="BU31" i="3"/>
  <c r="BW32" i="3"/>
  <c r="AU64" i="3"/>
  <c r="AR65" i="3"/>
  <c r="AK64" i="3"/>
  <c r="AH65" i="3"/>
  <c r="AA64" i="3"/>
  <c r="X65" i="3"/>
  <c r="BG28" i="3"/>
  <c r="BM29" i="3"/>
  <c r="BX28" i="3"/>
  <c r="BR27" i="3"/>
  <c r="BS29" i="3"/>
  <c r="D63" i="3"/>
  <c r="G62" i="3"/>
  <c r="BL31" i="3"/>
  <c r="BH30" i="3"/>
  <c r="CU16" i="2"/>
  <c r="CT17" i="2"/>
  <c r="CJ31" i="2"/>
  <c r="CO32" i="2"/>
  <c r="BC32" i="2"/>
  <c r="BA31" i="2"/>
  <c r="BT29" i="2"/>
  <c r="BY29" i="2" s="1"/>
  <c r="BO28" i="2"/>
  <c r="BI27" i="2"/>
  <c r="BN29" i="2"/>
  <c r="BJ28" i="2"/>
  <c r="Z61" i="2"/>
  <c r="AE61" i="2"/>
  <c r="W62" i="2"/>
  <c r="G60" i="2"/>
  <c r="D61" i="2"/>
  <c r="Q63" i="2"/>
  <c r="AJ68" i="1"/>
  <c r="AP68" i="1" s="1"/>
  <c r="AL67" i="1"/>
  <c r="P59" i="1"/>
  <c r="R58" i="1"/>
  <c r="F55" i="1"/>
  <c r="H55" i="1" s="1"/>
  <c r="DD26" i="3" l="1"/>
  <c r="CZ25" i="3"/>
  <c r="CY24" i="3"/>
  <c r="DE25" i="3"/>
  <c r="BA62" i="3"/>
  <c r="CT23" i="3"/>
  <c r="CN22" i="3"/>
  <c r="CO26" i="3"/>
  <c r="CS27" i="3"/>
  <c r="CF26" i="3"/>
  <c r="CH27" i="3"/>
  <c r="CI23" i="3"/>
  <c r="CC22" i="3"/>
  <c r="CD24" i="3"/>
  <c r="Q63" i="3"/>
  <c r="N64" i="3"/>
  <c r="BU30" i="3"/>
  <c r="BW31" i="3"/>
  <c r="AU65" i="3"/>
  <c r="AR66" i="3"/>
  <c r="AK65" i="3"/>
  <c r="AH66" i="3"/>
  <c r="X66" i="3"/>
  <c r="AA65" i="3"/>
  <c r="G63" i="3"/>
  <c r="D64" i="3"/>
  <c r="BS28" i="3"/>
  <c r="BX27" i="3"/>
  <c r="BR26" i="3"/>
  <c r="BL30" i="3"/>
  <c r="BH29" i="3"/>
  <c r="BM28" i="3"/>
  <c r="BG27" i="3"/>
  <c r="CJ30" i="2"/>
  <c r="CO31" i="2"/>
  <c r="CU15" i="2"/>
  <c r="CT16" i="2"/>
  <c r="BA30" i="2"/>
  <c r="BC31" i="2"/>
  <c r="BT28" i="2"/>
  <c r="BY28" i="2" s="1"/>
  <c r="BN28" i="2"/>
  <c r="BJ27" i="2"/>
  <c r="BI26" i="2"/>
  <c r="BO27" i="2"/>
  <c r="Z62" i="2"/>
  <c r="AE62" i="2"/>
  <c r="W63" i="2"/>
  <c r="D62" i="2"/>
  <c r="G61" i="2"/>
  <c r="Q64" i="2"/>
  <c r="AD58" i="1"/>
  <c r="AJ69" i="1"/>
  <c r="AP69" i="1" s="1"/>
  <c r="AL68" i="1"/>
  <c r="P60" i="1"/>
  <c r="R59" i="1"/>
  <c r="AA58" i="1"/>
  <c r="F56" i="1"/>
  <c r="H56" i="1" s="1"/>
  <c r="CY23" i="3" l="1"/>
  <c r="DE24" i="3"/>
  <c r="DD25" i="3"/>
  <c r="CZ24" i="3"/>
  <c r="BA63" i="3"/>
  <c r="CS26" i="3"/>
  <c r="CO25" i="3"/>
  <c r="CN21" i="3"/>
  <c r="CT22" i="3"/>
  <c r="CF25" i="3"/>
  <c r="CH26" i="3"/>
  <c r="CD23" i="3"/>
  <c r="CI22" i="3"/>
  <c r="CC21" i="3"/>
  <c r="Q64" i="3"/>
  <c r="N65" i="3"/>
  <c r="BU29" i="3"/>
  <c r="BW30" i="3"/>
  <c r="AR67" i="3"/>
  <c r="AU66" i="3"/>
  <c r="AH67" i="3"/>
  <c r="AK66" i="3"/>
  <c r="X67" i="3"/>
  <c r="AA66" i="3"/>
  <c r="BH28" i="3"/>
  <c r="BL29" i="3"/>
  <c r="BG26" i="3"/>
  <c r="BM27" i="3"/>
  <c r="BR25" i="3"/>
  <c r="BX26" i="3"/>
  <c r="BS27" i="3"/>
  <c r="D65" i="3"/>
  <c r="G64" i="3"/>
  <c r="CU14" i="2"/>
  <c r="CT15" i="2"/>
  <c r="CJ29" i="2"/>
  <c r="CO30" i="2"/>
  <c r="BA29" i="2"/>
  <c r="BC30" i="2"/>
  <c r="BT27" i="2"/>
  <c r="BY27" i="2" s="1"/>
  <c r="BJ26" i="2"/>
  <c r="BN27" i="2"/>
  <c r="BO26" i="2"/>
  <c r="BI25" i="2"/>
  <c r="AE63" i="2"/>
  <c r="Z63" i="2"/>
  <c r="W64" i="2"/>
  <c r="G62" i="2"/>
  <c r="D63" i="2"/>
  <c r="Q65" i="2"/>
  <c r="AD59" i="1"/>
  <c r="Y58" i="1"/>
  <c r="X58" i="1"/>
  <c r="AJ70" i="1"/>
  <c r="AP70" i="1" s="1"/>
  <c r="AL69" i="1"/>
  <c r="P61" i="1"/>
  <c r="R60" i="1"/>
  <c r="AA59" i="1"/>
  <c r="CY22" i="3" l="1"/>
  <c r="DE23" i="3"/>
  <c r="CZ23" i="3"/>
  <c r="DD24" i="3"/>
  <c r="BA64" i="3"/>
  <c r="CT21" i="3"/>
  <c r="CN20" i="3"/>
  <c r="CS25" i="3"/>
  <c r="CO24" i="3"/>
  <c r="CF24" i="3"/>
  <c r="CH25" i="3"/>
  <c r="CI21" i="3"/>
  <c r="CC20" i="3"/>
  <c r="CD22" i="3"/>
  <c r="Q65" i="3"/>
  <c r="N66" i="3"/>
  <c r="BU28" i="3"/>
  <c r="BW29" i="3"/>
  <c r="AU67" i="3"/>
  <c r="AR68" i="3"/>
  <c r="AK67" i="3"/>
  <c r="AH68" i="3"/>
  <c r="AA67" i="3"/>
  <c r="X68" i="3"/>
  <c r="G65" i="3"/>
  <c r="D66" i="3"/>
  <c r="BR24" i="3"/>
  <c r="BX25" i="3"/>
  <c r="BG25" i="3"/>
  <c r="BM26" i="3"/>
  <c r="BL28" i="3"/>
  <c r="BH27" i="3"/>
  <c r="BS26" i="3"/>
  <c r="CJ28" i="2"/>
  <c r="CO29" i="2"/>
  <c r="CU13" i="2"/>
  <c r="CT14" i="2"/>
  <c r="BC29" i="2"/>
  <c r="BA28" i="2"/>
  <c r="BT26" i="2"/>
  <c r="BY26" i="2" s="1"/>
  <c r="BI24" i="2"/>
  <c r="BO25" i="2"/>
  <c r="BN26" i="2"/>
  <c r="BJ25" i="2"/>
  <c r="Z64" i="2"/>
  <c r="AE64" i="2"/>
  <c r="W65" i="2"/>
  <c r="G63" i="2"/>
  <c r="D64" i="2"/>
  <c r="Q66" i="2"/>
  <c r="AD60" i="1"/>
  <c r="Y59" i="1"/>
  <c r="X59" i="1"/>
  <c r="AJ71" i="1"/>
  <c r="AP71" i="1" s="1"/>
  <c r="AL70" i="1"/>
  <c r="P62" i="1"/>
  <c r="R61" i="1"/>
  <c r="AA60" i="1"/>
  <c r="DE22" i="3" l="1"/>
  <c r="CY21" i="3"/>
  <c r="CZ22" i="3"/>
  <c r="DD23" i="3"/>
  <c r="BA65" i="3"/>
  <c r="CS24" i="3"/>
  <c r="CO23" i="3"/>
  <c r="CN19" i="3"/>
  <c r="CT20" i="3"/>
  <c r="CF23" i="3"/>
  <c r="CH24" i="3"/>
  <c r="CD21" i="3"/>
  <c r="CC19" i="3"/>
  <c r="CI20" i="3"/>
  <c r="N67" i="3"/>
  <c r="Q66" i="3"/>
  <c r="BU27" i="3"/>
  <c r="BW28" i="3"/>
  <c r="AU68" i="3"/>
  <c r="AR69" i="3"/>
  <c r="AH69" i="3"/>
  <c r="AK68" i="3"/>
  <c r="X69" i="3"/>
  <c r="AA68" i="3"/>
  <c r="BM25" i="3"/>
  <c r="BG24" i="3"/>
  <c r="G66" i="3"/>
  <c r="D67" i="3"/>
  <c r="BS25" i="3"/>
  <c r="BH26" i="3"/>
  <c r="BL27" i="3"/>
  <c r="BX24" i="3"/>
  <c r="BR23" i="3"/>
  <c r="CU12" i="2"/>
  <c r="CT13" i="2"/>
  <c r="CJ27" i="2"/>
  <c r="CO28" i="2"/>
  <c r="BA27" i="2"/>
  <c r="BC28" i="2"/>
  <c r="BT25" i="2"/>
  <c r="BY25" i="2" s="1"/>
  <c r="BN25" i="2"/>
  <c r="BJ24" i="2"/>
  <c r="BI23" i="2"/>
  <c r="BO24" i="2"/>
  <c r="Z65" i="2"/>
  <c r="AE65" i="2"/>
  <c r="W66" i="2"/>
  <c r="G64" i="2"/>
  <c r="D65" i="2"/>
  <c r="Q67" i="2"/>
  <c r="AD61" i="1"/>
  <c r="Y60" i="1"/>
  <c r="X60" i="1"/>
  <c r="AJ72" i="1"/>
  <c r="AP72" i="1" s="1"/>
  <c r="AL71" i="1"/>
  <c r="AA61" i="1"/>
  <c r="R62" i="1"/>
  <c r="P63" i="1"/>
  <c r="AA62" i="1"/>
  <c r="DD22" i="3" l="1"/>
  <c r="CZ21" i="3"/>
  <c r="DE21" i="3"/>
  <c r="CY20" i="3"/>
  <c r="BA66" i="3"/>
  <c r="CN18" i="3"/>
  <c r="CT19" i="3"/>
  <c r="CS23" i="3"/>
  <c r="CO22" i="3"/>
  <c r="CF22" i="3"/>
  <c r="CH23" i="3"/>
  <c r="CI19" i="3"/>
  <c r="CC18" i="3"/>
  <c r="CD20" i="3"/>
  <c r="N68" i="3"/>
  <c r="Q67" i="3"/>
  <c r="BU26" i="3"/>
  <c r="BW27" i="3"/>
  <c r="AU69" i="3"/>
  <c r="AR70" i="3"/>
  <c r="AH70" i="3"/>
  <c r="AK69" i="3"/>
  <c r="AA69" i="3"/>
  <c r="X70" i="3"/>
  <c r="BH25" i="3"/>
  <c r="BL26" i="3"/>
  <c r="BS24" i="3"/>
  <c r="D68" i="3"/>
  <c r="G67" i="3"/>
  <c r="BG23" i="3"/>
  <c r="BM24" i="3"/>
  <c r="BR22" i="3"/>
  <c r="BX23" i="3"/>
  <c r="CJ26" i="2"/>
  <c r="CO27" i="2"/>
  <c r="CU11" i="2"/>
  <c r="CT12" i="2"/>
  <c r="BA26" i="2"/>
  <c r="BC27" i="2"/>
  <c r="BT24" i="2"/>
  <c r="BY24" i="2" s="1"/>
  <c r="BJ23" i="2"/>
  <c r="BN24" i="2"/>
  <c r="BO23" i="2"/>
  <c r="BI22" i="2"/>
  <c r="AE66" i="2"/>
  <c r="Z66" i="2"/>
  <c r="W67" i="2"/>
  <c r="G65" i="2"/>
  <c r="D66" i="2"/>
  <c r="Q68" i="2"/>
  <c r="AD62" i="1"/>
  <c r="Y61" i="1"/>
  <c r="X61" i="1"/>
  <c r="AJ73" i="1"/>
  <c r="AP73" i="1" s="1"/>
  <c r="AL72" i="1"/>
  <c r="P64" i="1"/>
  <c r="R63" i="1"/>
  <c r="CY19" i="3" l="1"/>
  <c r="DE20" i="3"/>
  <c r="DD21" i="3"/>
  <c r="CZ20" i="3"/>
  <c r="BA67" i="3"/>
  <c r="CO21" i="3"/>
  <c r="CS22" i="3"/>
  <c r="CT18" i="3"/>
  <c r="CN17" i="3"/>
  <c r="CF21" i="3"/>
  <c r="CH22" i="3"/>
  <c r="CD19" i="3"/>
  <c r="CI18" i="3"/>
  <c r="CC17" i="3"/>
  <c r="Q68" i="3"/>
  <c r="N69" i="3"/>
  <c r="BU25" i="3"/>
  <c r="BW26" i="3"/>
  <c r="AR71" i="3"/>
  <c r="AU70" i="3"/>
  <c r="AH71" i="3"/>
  <c r="AK70" i="3"/>
  <c r="X71" i="3"/>
  <c r="AA70" i="3"/>
  <c r="BM23" i="3"/>
  <c r="BG22" i="3"/>
  <c r="D69" i="3"/>
  <c r="G68" i="3"/>
  <c r="BS23" i="3"/>
  <c r="BX22" i="3"/>
  <c r="BR21" i="3"/>
  <c r="BL25" i="3"/>
  <c r="BH24" i="3"/>
  <c r="CU10" i="2"/>
  <c r="CT11" i="2"/>
  <c r="CJ25" i="2"/>
  <c r="CO26" i="2"/>
  <c r="BA25" i="2"/>
  <c r="BC26" i="2"/>
  <c r="BT23" i="2"/>
  <c r="BY23" i="2" s="1"/>
  <c r="BI21" i="2"/>
  <c r="BO22" i="2"/>
  <c r="BN23" i="2"/>
  <c r="BJ22" i="2"/>
  <c r="Z67" i="2"/>
  <c r="AE67" i="2"/>
  <c r="W68" i="2"/>
  <c r="G66" i="2"/>
  <c r="D67" i="2"/>
  <c r="Q69" i="2"/>
  <c r="AD63" i="1"/>
  <c r="Y62" i="1"/>
  <c r="X62" i="1"/>
  <c r="AJ74" i="1"/>
  <c r="AP74" i="1" s="1"/>
  <c r="AL73" i="1"/>
  <c r="AA63" i="1"/>
  <c r="R64" i="1"/>
  <c r="AA64" i="1"/>
  <c r="P65" i="1"/>
  <c r="DE19" i="3" l="1"/>
  <c r="CY18" i="3"/>
  <c r="DD20" i="3"/>
  <c r="CZ19" i="3"/>
  <c r="BA68" i="3"/>
  <c r="CN16" i="3"/>
  <c r="CT17" i="3"/>
  <c r="CS21" i="3"/>
  <c r="CO20" i="3"/>
  <c r="CF20" i="3"/>
  <c r="CH21" i="3"/>
  <c r="CD18" i="3"/>
  <c r="CC16" i="3"/>
  <c r="CI17" i="3"/>
  <c r="N70" i="3"/>
  <c r="Q69" i="3"/>
  <c r="BU24" i="3"/>
  <c r="BW25" i="3"/>
  <c r="AR72" i="3"/>
  <c r="AU71" i="3"/>
  <c r="AH72" i="3"/>
  <c r="AK71" i="3"/>
  <c r="AA71" i="3"/>
  <c r="X72" i="3"/>
  <c r="BR20" i="3"/>
  <c r="BX21" i="3"/>
  <c r="G69" i="3"/>
  <c r="D70" i="3"/>
  <c r="BM22" i="3"/>
  <c r="BG21" i="3"/>
  <c r="BS22" i="3"/>
  <c r="BL24" i="3"/>
  <c r="BH23" i="3"/>
  <c r="CJ24" i="2"/>
  <c r="CO25" i="2"/>
  <c r="CU9" i="2"/>
  <c r="CT9" i="2" s="1"/>
  <c r="CT10" i="2"/>
  <c r="BC25" i="2"/>
  <c r="BA24" i="2"/>
  <c r="BT22" i="2"/>
  <c r="BY22" i="2" s="1"/>
  <c r="BJ21" i="2"/>
  <c r="BN22" i="2"/>
  <c r="BI20" i="2"/>
  <c r="BO21" i="2"/>
  <c r="AE68" i="2"/>
  <c r="Z68" i="2"/>
  <c r="W69" i="2"/>
  <c r="G67" i="2"/>
  <c r="D68" i="2"/>
  <c r="Q70" i="2"/>
  <c r="AD64" i="1"/>
  <c r="Y63" i="1"/>
  <c r="X63" i="1"/>
  <c r="AJ75" i="1"/>
  <c r="AP75" i="1" s="1"/>
  <c r="AL74" i="1"/>
  <c r="P66" i="1"/>
  <c r="R65" i="1"/>
  <c r="DD19" i="3" l="1"/>
  <c r="CZ18" i="3"/>
  <c r="DE18" i="3"/>
  <c r="CY17" i="3"/>
  <c r="BA69" i="3"/>
  <c r="CO19" i="3"/>
  <c r="CS20" i="3"/>
  <c r="CN15" i="3"/>
  <c r="CT16" i="3"/>
  <c r="CF19" i="3"/>
  <c r="CH20" i="3"/>
  <c r="CI16" i="3"/>
  <c r="CC15" i="3"/>
  <c r="CD17" i="3"/>
  <c r="Q70" i="3"/>
  <c r="N71" i="3"/>
  <c r="BU23" i="3"/>
  <c r="BW24" i="3"/>
  <c r="AU72" i="3"/>
  <c r="AR73" i="3"/>
  <c r="AH73" i="3"/>
  <c r="AK72" i="3"/>
  <c r="X73" i="3"/>
  <c r="AA72" i="3"/>
  <c r="BG20" i="3"/>
  <c r="BM21" i="3"/>
  <c r="G70" i="3"/>
  <c r="D71" i="3"/>
  <c r="BL23" i="3"/>
  <c r="BH22" i="3"/>
  <c r="BR19" i="3"/>
  <c r="BX20" i="3"/>
  <c r="BS21" i="3"/>
  <c r="CJ23" i="2"/>
  <c r="CO24" i="2"/>
  <c r="BA23" i="2"/>
  <c r="BC24" i="2"/>
  <c r="BT21" i="2"/>
  <c r="BY21" i="2" s="1"/>
  <c r="BO20" i="2"/>
  <c r="BI19" i="2"/>
  <c r="BJ20" i="2"/>
  <c r="BN21" i="2"/>
  <c r="Z69" i="2"/>
  <c r="AE69" i="2"/>
  <c r="W70" i="2"/>
  <c r="G68" i="2"/>
  <c r="D69" i="2"/>
  <c r="Q71" i="2"/>
  <c r="AD65" i="1"/>
  <c r="Y64" i="1"/>
  <c r="X64" i="1"/>
  <c r="AJ76" i="1"/>
  <c r="AP76" i="1" s="1"/>
  <c r="AL75" i="1"/>
  <c r="P67" i="1"/>
  <c r="R66" i="1"/>
  <c r="AA65" i="1"/>
  <c r="DE17" i="3" l="1"/>
  <c r="CY16" i="3"/>
  <c r="DD18" i="3"/>
  <c r="CZ17" i="3"/>
  <c r="BA70" i="3"/>
  <c r="CN14" i="3"/>
  <c r="CT15" i="3"/>
  <c r="CO18" i="3"/>
  <c r="CS19" i="3"/>
  <c r="CF18" i="3"/>
  <c r="CH19" i="3"/>
  <c r="CD16" i="3"/>
  <c r="CC14" i="3"/>
  <c r="CI15" i="3"/>
  <c r="Q71" i="3"/>
  <c r="N72" i="3"/>
  <c r="BU22" i="3"/>
  <c r="BW23" i="3"/>
  <c r="AR74" i="3"/>
  <c r="AU73" i="3"/>
  <c r="AH74" i="3"/>
  <c r="AK73" i="3"/>
  <c r="X74" i="3"/>
  <c r="AA73" i="3"/>
  <c r="G71" i="3"/>
  <c r="BA71" i="3" s="1"/>
  <c r="D72" i="3"/>
  <c r="BX19" i="3"/>
  <c r="BR18" i="3"/>
  <c r="BH21" i="3"/>
  <c r="BL22" i="3"/>
  <c r="BS20" i="3"/>
  <c r="BM20" i="3"/>
  <c r="BG19" i="3"/>
  <c r="CJ22" i="2"/>
  <c r="CO23" i="2"/>
  <c r="BA22" i="2"/>
  <c r="BC23" i="2"/>
  <c r="BT20" i="2"/>
  <c r="BY20" i="2" s="1"/>
  <c r="BN20" i="2"/>
  <c r="BJ19" i="2"/>
  <c r="BI18" i="2"/>
  <c r="BO19" i="2"/>
  <c r="AE70" i="2"/>
  <c r="Z70" i="2"/>
  <c r="W71" i="2"/>
  <c r="G69" i="2"/>
  <c r="D70" i="2"/>
  <c r="Q72" i="2"/>
  <c r="AD66" i="1"/>
  <c r="Y65" i="1"/>
  <c r="X65" i="1"/>
  <c r="AJ77" i="1"/>
  <c r="AP77" i="1" s="1"/>
  <c r="AL76" i="1"/>
  <c r="AA66" i="1"/>
  <c r="R67" i="1"/>
  <c r="AA67" i="1" s="1"/>
  <c r="P68" i="1"/>
  <c r="DD17" i="3" l="1"/>
  <c r="CZ16" i="3"/>
  <c r="CY15" i="3"/>
  <c r="DE16" i="3"/>
  <c r="CS18" i="3"/>
  <c r="CO17" i="3"/>
  <c r="CT14" i="3"/>
  <c r="CN13" i="3"/>
  <c r="CF17" i="3"/>
  <c r="CH18" i="3"/>
  <c r="CC13" i="3"/>
  <c r="CI14" i="3"/>
  <c r="CD15" i="3"/>
  <c r="Q72" i="3"/>
  <c r="N73" i="3"/>
  <c r="BU21" i="3"/>
  <c r="BW22" i="3"/>
  <c r="AU74" i="3"/>
  <c r="AR75" i="3"/>
  <c r="AK74" i="3"/>
  <c r="AH75" i="3"/>
  <c r="AA74" i="3"/>
  <c r="X75" i="3"/>
  <c r="BX18" i="3"/>
  <c r="BR17" i="3"/>
  <c r="BS19" i="3"/>
  <c r="BM19" i="3"/>
  <c r="BG18" i="3"/>
  <c r="D73" i="3"/>
  <c r="G72" i="3"/>
  <c r="BH20" i="3"/>
  <c r="BL21" i="3"/>
  <c r="CO22" i="2"/>
  <c r="CJ21" i="2"/>
  <c r="BC22" i="2"/>
  <c r="BA21" i="2"/>
  <c r="BT19" i="2"/>
  <c r="BY19" i="2" s="1"/>
  <c r="BI17" i="2"/>
  <c r="BO18" i="2"/>
  <c r="BJ18" i="2"/>
  <c r="BN19" i="2"/>
  <c r="Z71" i="2"/>
  <c r="AE71" i="2"/>
  <c r="W72" i="2"/>
  <c r="G70" i="2"/>
  <c r="D71" i="2"/>
  <c r="Q73" i="2"/>
  <c r="AD67" i="1"/>
  <c r="Y66" i="1"/>
  <c r="X66" i="1"/>
  <c r="AJ78" i="1"/>
  <c r="AP78" i="1" s="1"/>
  <c r="AL77" i="1"/>
  <c r="P69" i="1"/>
  <c r="R68" i="1"/>
  <c r="CY14" i="3" l="1"/>
  <c r="DE15" i="3"/>
  <c r="DD16" i="3"/>
  <c r="CZ15" i="3"/>
  <c r="BA72" i="3"/>
  <c r="CT13" i="3"/>
  <c r="CN12" i="3"/>
  <c r="CO16" i="3"/>
  <c r="CS17" i="3"/>
  <c r="CF16" i="3"/>
  <c r="CH17" i="3"/>
  <c r="CI13" i="3"/>
  <c r="CC12" i="3"/>
  <c r="CD14" i="3"/>
  <c r="Q73" i="3"/>
  <c r="N74" i="3"/>
  <c r="BU20" i="3"/>
  <c r="BW21" i="3"/>
  <c r="AU75" i="3"/>
  <c r="AR76" i="3"/>
  <c r="AH76" i="3"/>
  <c r="AK75" i="3"/>
  <c r="AA75" i="3"/>
  <c r="X76" i="3"/>
  <c r="BM18" i="3"/>
  <c r="BG17" i="3"/>
  <c r="G73" i="3"/>
  <c r="D74" i="3"/>
  <c r="BS18" i="3"/>
  <c r="BH19" i="3"/>
  <c r="BL20" i="3"/>
  <c r="BX17" i="3"/>
  <c r="BR16" i="3"/>
  <c r="CJ20" i="2"/>
  <c r="CO21" i="2"/>
  <c r="BA20" i="2"/>
  <c r="BC21" i="2"/>
  <c r="BT18" i="2"/>
  <c r="BY18" i="2" s="1"/>
  <c r="BJ17" i="2"/>
  <c r="BN18" i="2"/>
  <c r="BO17" i="2"/>
  <c r="BI16" i="2"/>
  <c r="AE72" i="2"/>
  <c r="Z72" i="2"/>
  <c r="W73" i="2"/>
  <c r="G71" i="2"/>
  <c r="D72" i="2"/>
  <c r="Q74" i="2"/>
  <c r="AD68" i="1"/>
  <c r="Y67" i="1"/>
  <c r="X67" i="1"/>
  <c r="AJ79" i="1"/>
  <c r="AP79" i="1" s="1"/>
  <c r="AL78" i="1"/>
  <c r="P70" i="1"/>
  <c r="R69" i="1"/>
  <c r="AA68" i="1"/>
  <c r="DE14" i="3" l="1"/>
  <c r="CY13" i="3"/>
  <c r="DD15" i="3"/>
  <c r="CZ14" i="3"/>
  <c r="BA73" i="3"/>
  <c r="CS16" i="3"/>
  <c r="CO15" i="3"/>
  <c r="CN11" i="3"/>
  <c r="CT12" i="3"/>
  <c r="CF15" i="3"/>
  <c r="CH16" i="3"/>
  <c r="CD13" i="3"/>
  <c r="CC11" i="3"/>
  <c r="CI12" i="3"/>
  <c r="N75" i="3"/>
  <c r="Q74" i="3"/>
  <c r="BU19" i="3"/>
  <c r="BW20" i="3"/>
  <c r="AR77" i="3"/>
  <c r="AU76" i="3"/>
  <c r="AH77" i="3"/>
  <c r="AK76" i="3"/>
  <c r="X77" i="3"/>
  <c r="AA76" i="3"/>
  <c r="BL19" i="3"/>
  <c r="BH18" i="3"/>
  <c r="BR15" i="3"/>
  <c r="BX16" i="3"/>
  <c r="D75" i="3"/>
  <c r="G74" i="3"/>
  <c r="BS17" i="3"/>
  <c r="BG16" i="3"/>
  <c r="BM17" i="3"/>
  <c r="CO20" i="2"/>
  <c r="CJ19" i="2"/>
  <c r="BA19" i="2"/>
  <c r="BC20" i="2"/>
  <c r="BT17" i="2"/>
  <c r="BY17" i="2" s="1"/>
  <c r="BI15" i="2"/>
  <c r="BO16" i="2"/>
  <c r="BN17" i="2"/>
  <c r="BJ16" i="2"/>
  <c r="AE73" i="2"/>
  <c r="Z73" i="2"/>
  <c r="W74" i="2"/>
  <c r="D73" i="2"/>
  <c r="G72" i="2"/>
  <c r="Q75" i="2"/>
  <c r="AD69" i="1"/>
  <c r="Y68" i="1"/>
  <c r="X68" i="1"/>
  <c r="AJ80" i="1"/>
  <c r="AP80" i="1" s="1"/>
  <c r="AL79" i="1"/>
  <c r="AA69" i="1"/>
  <c r="P71" i="1"/>
  <c r="R70" i="1"/>
  <c r="DD14" i="3" l="1"/>
  <c r="CZ13" i="3"/>
  <c r="CY12" i="3"/>
  <c r="DE13" i="3"/>
  <c r="CT11" i="3"/>
  <c r="CN10" i="3"/>
  <c r="CS15" i="3"/>
  <c r="CO14" i="3"/>
  <c r="CF14" i="3"/>
  <c r="CH15" i="3"/>
  <c r="CI11" i="3"/>
  <c r="CC10" i="3"/>
  <c r="CD12" i="3"/>
  <c r="BA74" i="3"/>
  <c r="Q75" i="3"/>
  <c r="N76" i="3"/>
  <c r="BU18" i="3"/>
  <c r="BW19" i="3"/>
  <c r="AU77" i="3"/>
  <c r="AR78" i="3"/>
  <c r="AK77" i="3"/>
  <c r="AH78" i="3"/>
  <c r="AA77" i="3"/>
  <c r="X78" i="3"/>
  <c r="BS16" i="3"/>
  <c r="D76" i="3"/>
  <c r="G75" i="3"/>
  <c r="BR14" i="3"/>
  <c r="BX15" i="3"/>
  <c r="BM16" i="3"/>
  <c r="BG15" i="3"/>
  <c r="BL18" i="3"/>
  <c r="BH17" i="3"/>
  <c r="CJ18" i="2"/>
  <c r="CO19" i="2"/>
  <c r="BA18" i="2"/>
  <c r="BC19" i="2"/>
  <c r="BT16" i="2"/>
  <c r="BY16" i="2" s="1"/>
  <c r="BJ15" i="2"/>
  <c r="BN16" i="2"/>
  <c r="BO15" i="2"/>
  <c r="BI14" i="2"/>
  <c r="Z74" i="2"/>
  <c r="AE74" i="2"/>
  <c r="W75" i="2"/>
  <c r="D74" i="2"/>
  <c r="G73" i="2"/>
  <c r="Q76" i="2"/>
  <c r="AD70" i="1"/>
  <c r="Y69" i="1"/>
  <c r="X69" i="1"/>
  <c r="AJ81" i="1"/>
  <c r="AP81" i="1" s="1"/>
  <c r="AL80" i="1"/>
  <c r="P72" i="1"/>
  <c r="R71" i="1"/>
  <c r="AA70" i="1"/>
  <c r="DE12" i="3" l="1"/>
  <c r="CY11" i="3"/>
  <c r="CZ12" i="3"/>
  <c r="DD13" i="3"/>
  <c r="BA75" i="3"/>
  <c r="CS14" i="3"/>
  <c r="CO13" i="3"/>
  <c r="CN9" i="3"/>
  <c r="CT9" i="3" s="1"/>
  <c r="CT10" i="3"/>
  <c r="CF13" i="3"/>
  <c r="CH14" i="3"/>
  <c r="CD11" i="3"/>
  <c r="CI10" i="3"/>
  <c r="CC9" i="3"/>
  <c r="CI9" i="3" s="1"/>
  <c r="Q76" i="3"/>
  <c r="N77" i="3"/>
  <c r="BU17" i="3"/>
  <c r="BW18" i="3"/>
  <c r="AU78" i="3"/>
  <c r="AR79" i="3"/>
  <c r="AH79" i="3"/>
  <c r="AK78" i="3"/>
  <c r="X79" i="3"/>
  <c r="AA78" i="3"/>
  <c r="BH16" i="3"/>
  <c r="BL17" i="3"/>
  <c r="BX14" i="3"/>
  <c r="BR13" i="3"/>
  <c r="D77" i="3"/>
  <c r="G76" i="3"/>
  <c r="BS15" i="3"/>
  <c r="BM15" i="3"/>
  <c r="BG14" i="3"/>
  <c r="CO18" i="2"/>
  <c r="CJ17" i="2"/>
  <c r="BA17" i="2"/>
  <c r="BC18" i="2"/>
  <c r="BT15" i="2"/>
  <c r="BY15" i="2" s="1"/>
  <c r="BO14" i="2"/>
  <c r="BI13" i="2"/>
  <c r="BJ14" i="2"/>
  <c r="BN15" i="2"/>
  <c r="Z75" i="2"/>
  <c r="AE75" i="2"/>
  <c r="W76" i="2"/>
  <c r="D75" i="2"/>
  <c r="G74" i="2"/>
  <c r="Q77" i="2"/>
  <c r="AD71" i="1"/>
  <c r="Y70" i="1"/>
  <c r="X70" i="1"/>
  <c r="AJ82" i="1"/>
  <c r="AP82" i="1" s="1"/>
  <c r="AL81" i="1"/>
  <c r="AA71" i="1"/>
  <c r="R72" i="1"/>
  <c r="P73" i="1"/>
  <c r="AA72" i="1"/>
  <c r="CZ11" i="3" l="1"/>
  <c r="DD12" i="3"/>
  <c r="DE11" i="3"/>
  <c r="CY10" i="3"/>
  <c r="BA76" i="3"/>
  <c r="CS13" i="3"/>
  <c r="CO12" i="3"/>
  <c r="CF12" i="3"/>
  <c r="CH13" i="3"/>
  <c r="CD10" i="3"/>
  <c r="N78" i="3"/>
  <c r="Q77" i="3"/>
  <c r="BU16" i="3"/>
  <c r="BW17" i="3"/>
  <c r="AU79" i="3"/>
  <c r="AR80" i="3"/>
  <c r="AH80" i="3"/>
  <c r="AK79" i="3"/>
  <c r="AA79" i="3"/>
  <c r="X80" i="3"/>
  <c r="G77" i="3"/>
  <c r="BA77" i="3" s="1"/>
  <c r="D78" i="3"/>
  <c r="BS14" i="3"/>
  <c r="BR12" i="3"/>
  <c r="BX13" i="3"/>
  <c r="BL16" i="3"/>
  <c r="BH15" i="3"/>
  <c r="BG13" i="3"/>
  <c r="BM14" i="3"/>
  <c r="CJ16" i="2"/>
  <c r="CO17" i="2"/>
  <c r="BC17" i="2"/>
  <c r="BA16" i="2"/>
  <c r="BT14" i="2"/>
  <c r="BY14" i="2" s="1"/>
  <c r="BI12" i="2"/>
  <c r="BO13" i="2"/>
  <c r="BN14" i="2"/>
  <c r="BJ13" i="2"/>
  <c r="Z76" i="2"/>
  <c r="AE76" i="2"/>
  <c r="W77" i="2"/>
  <c r="D76" i="2"/>
  <c r="G75" i="2"/>
  <c r="Q78" i="2"/>
  <c r="AD72" i="1"/>
  <c r="Y71" i="1"/>
  <c r="X71" i="1"/>
  <c r="AL82" i="1"/>
  <c r="AJ83" i="1"/>
  <c r="P74" i="1"/>
  <c r="R73" i="1"/>
  <c r="DD11" i="3" l="1"/>
  <c r="CZ10" i="3"/>
  <c r="CY9" i="3"/>
  <c r="DE9" i="3" s="1"/>
  <c r="DE10" i="3"/>
  <c r="CO11" i="3"/>
  <c r="CS12" i="3"/>
  <c r="CF11" i="3"/>
  <c r="CH12" i="3"/>
  <c r="CD9" i="3"/>
  <c r="Q78" i="3"/>
  <c r="N79" i="3"/>
  <c r="BU15" i="3"/>
  <c r="BW16" i="3"/>
  <c r="AR81" i="3"/>
  <c r="AU80" i="3"/>
  <c r="AH81" i="3"/>
  <c r="AK80" i="3"/>
  <c r="X81" i="3"/>
  <c r="AA80" i="3"/>
  <c r="BL15" i="3"/>
  <c r="BH14" i="3"/>
  <c r="BR11" i="3"/>
  <c r="BX12" i="3"/>
  <c r="BS13" i="3"/>
  <c r="D79" i="3"/>
  <c r="G78" i="3"/>
  <c r="BG12" i="3"/>
  <c r="BM13" i="3"/>
  <c r="CO16" i="2"/>
  <c r="CJ15" i="2"/>
  <c r="BA15" i="2"/>
  <c r="BC16" i="2"/>
  <c r="BT13" i="2"/>
  <c r="BY13" i="2" s="1"/>
  <c r="BJ12" i="2"/>
  <c r="BN13" i="2"/>
  <c r="BO12" i="2"/>
  <c r="BI11" i="2"/>
  <c r="AE77" i="2"/>
  <c r="Z77" i="2"/>
  <c r="W78" i="2"/>
  <c r="G76" i="2"/>
  <c r="D77" i="2"/>
  <c r="Q79" i="2"/>
  <c r="AD73" i="1"/>
  <c r="Y72" i="1"/>
  <c r="X72" i="1"/>
  <c r="P75" i="1"/>
  <c r="R74" i="1"/>
  <c r="AA73" i="1"/>
  <c r="CZ9" i="3" l="1"/>
  <c r="DD9" i="3" s="1"/>
  <c r="DD10" i="3"/>
  <c r="BA78" i="3"/>
  <c r="CS11" i="3"/>
  <c r="CO10" i="3"/>
  <c r="CF10" i="3"/>
  <c r="CH11" i="3"/>
  <c r="Q79" i="3"/>
  <c r="N80" i="3"/>
  <c r="BU14" i="3"/>
  <c r="BW15" i="3"/>
  <c r="AR82" i="3"/>
  <c r="AU81" i="3"/>
  <c r="AK81" i="3"/>
  <c r="AH82" i="3"/>
  <c r="AA81" i="3"/>
  <c r="X82" i="3"/>
  <c r="BG11" i="3"/>
  <c r="BM12" i="3"/>
  <c r="D80" i="3"/>
  <c r="G79" i="3"/>
  <c r="BA79" i="3" s="1"/>
  <c r="BS12" i="3"/>
  <c r="BR10" i="3"/>
  <c r="BX11" i="3"/>
  <c r="BL14" i="3"/>
  <c r="BH13" i="3"/>
  <c r="CJ14" i="2"/>
  <c r="CO15" i="2"/>
  <c r="BA14" i="2"/>
  <c r="BC15" i="2"/>
  <c r="BT12" i="2"/>
  <c r="BY12" i="2" s="1"/>
  <c r="BO11" i="2"/>
  <c r="BI10" i="2"/>
  <c r="BN12" i="2"/>
  <c r="BJ11" i="2"/>
  <c r="Z78" i="2"/>
  <c r="AE78" i="2"/>
  <c r="W79" i="2"/>
  <c r="G77" i="2"/>
  <c r="D78" i="2"/>
  <c r="Q80" i="2"/>
  <c r="AD74" i="1"/>
  <c r="Y73" i="1"/>
  <c r="X73" i="1"/>
  <c r="AA74" i="1"/>
  <c r="P76" i="1"/>
  <c r="R75" i="1"/>
  <c r="CO9" i="3" l="1"/>
  <c r="CS9" i="3" s="1"/>
  <c r="CS10" i="3"/>
  <c r="CF9" i="3"/>
  <c r="CH9" i="3" s="1"/>
  <c r="CH10" i="3"/>
  <c r="Q80" i="3"/>
  <c r="N81" i="3"/>
  <c r="BU13" i="3"/>
  <c r="BW14" i="3"/>
  <c r="AR83" i="3"/>
  <c r="AU82" i="3"/>
  <c r="AH83" i="3"/>
  <c r="AK82" i="3"/>
  <c r="X83" i="3"/>
  <c r="AA82" i="3"/>
  <c r="BR9" i="3"/>
  <c r="BX9" i="3" s="1"/>
  <c r="BX10" i="3"/>
  <c r="D81" i="3"/>
  <c r="G80" i="3"/>
  <c r="BA80" i="3" s="1"/>
  <c r="BL13" i="3"/>
  <c r="BH12" i="3"/>
  <c r="BS11" i="3"/>
  <c r="BM11" i="3"/>
  <c r="BG10" i="3"/>
  <c r="CO14" i="2"/>
  <c r="CJ13" i="2"/>
  <c r="BA13" i="2"/>
  <c r="BC14" i="2"/>
  <c r="BT11" i="2"/>
  <c r="BY11" i="2" s="1"/>
  <c r="BN11" i="2"/>
  <c r="BJ10" i="2"/>
  <c r="BI9" i="2"/>
  <c r="BO9" i="2" s="1"/>
  <c r="BO10" i="2"/>
  <c r="AE79" i="2"/>
  <c r="Z79" i="2"/>
  <c r="W80" i="2"/>
  <c r="D79" i="2"/>
  <c r="G78" i="2"/>
  <c r="Q81" i="2"/>
  <c r="AD75" i="1"/>
  <c r="Y74" i="1"/>
  <c r="X74" i="1"/>
  <c r="P77" i="1"/>
  <c r="R76" i="1"/>
  <c r="AA75" i="1"/>
  <c r="Q81" i="3" l="1"/>
  <c r="N82" i="3"/>
  <c r="BU12" i="3"/>
  <c r="BW13" i="3"/>
  <c r="AR84" i="3"/>
  <c r="AU84" i="3" s="1"/>
  <c r="AU83" i="3"/>
  <c r="AH84" i="3"/>
  <c r="AK84" i="3" s="1"/>
  <c r="AK83" i="3"/>
  <c r="X84" i="3"/>
  <c r="AA84" i="3" s="1"/>
  <c r="AA83" i="3"/>
  <c r="BS10" i="3"/>
  <c r="BG9" i="3"/>
  <c r="BM9" i="3" s="1"/>
  <c r="BM10" i="3"/>
  <c r="BH11" i="3"/>
  <c r="BL12" i="3"/>
  <c r="G81" i="3"/>
  <c r="BA81" i="3" s="1"/>
  <c r="D82" i="3"/>
  <c r="CJ12" i="2"/>
  <c r="CO13" i="2"/>
  <c r="BA12" i="2"/>
  <c r="BC13" i="2"/>
  <c r="BT10" i="2"/>
  <c r="BY10" i="2" s="1"/>
  <c r="BJ9" i="2"/>
  <c r="BN9" i="2" s="1"/>
  <c r="BN10" i="2"/>
  <c r="Z80" i="2"/>
  <c r="AE80" i="2"/>
  <c r="W81" i="2"/>
  <c r="D80" i="2"/>
  <c r="G79" i="2"/>
  <c r="Q82" i="2"/>
  <c r="AD76" i="1"/>
  <c r="Y75" i="1"/>
  <c r="X75" i="1"/>
  <c r="AA76" i="1"/>
  <c r="R77" i="1"/>
  <c r="AA77" i="1" s="1"/>
  <c r="P78" i="1"/>
  <c r="Q82" i="3" l="1"/>
  <c r="N83" i="3"/>
  <c r="BU11" i="3"/>
  <c r="BW12" i="3"/>
  <c r="BH10" i="3"/>
  <c r="BL11" i="3"/>
  <c r="G82" i="3"/>
  <c r="BA82" i="3" s="1"/>
  <c r="D83" i="3"/>
  <c r="BS9" i="3"/>
  <c r="CJ11" i="2"/>
  <c r="CO12" i="2"/>
  <c r="BA11" i="2"/>
  <c r="BC12" i="2"/>
  <c r="BT9" i="2"/>
  <c r="BY9" i="2" s="1"/>
  <c r="AE81" i="2"/>
  <c r="Z81" i="2"/>
  <c r="W82" i="2"/>
  <c r="D81" i="2"/>
  <c r="G80" i="2"/>
  <c r="Q83" i="2"/>
  <c r="AD77" i="1"/>
  <c r="Y76" i="1"/>
  <c r="X76" i="1"/>
  <c r="P79" i="1"/>
  <c r="R78" i="1"/>
  <c r="Q83" i="3" l="1"/>
  <c r="N84" i="3"/>
  <c r="Q84" i="3" s="1"/>
  <c r="BU10" i="3"/>
  <c r="BW11" i="3"/>
  <c r="G83" i="3"/>
  <c r="BA83" i="3" s="1"/>
  <c r="D84" i="3"/>
  <c r="G84" i="3" s="1"/>
  <c r="BA84" i="3" s="1"/>
  <c r="BL10" i="3"/>
  <c r="BH9" i="3"/>
  <c r="BL9" i="3" s="1"/>
  <c r="CJ10" i="2"/>
  <c r="CO11" i="2"/>
  <c r="BA10" i="2"/>
  <c r="BC11" i="2"/>
  <c r="Z82" i="2"/>
  <c r="AE82" i="2"/>
  <c r="W83" i="2"/>
  <c r="D82" i="2"/>
  <c r="G81" i="2"/>
  <c r="Q84" i="2"/>
  <c r="AD78" i="1"/>
  <c r="Y77" i="1"/>
  <c r="X77" i="1"/>
  <c r="AA78" i="1"/>
  <c r="R79" i="1"/>
  <c r="P80" i="1"/>
  <c r="AA79" i="1"/>
  <c r="BU9" i="3" l="1"/>
  <c r="BW9" i="3" s="1"/>
  <c r="BW10" i="3"/>
  <c r="CO10" i="2"/>
  <c r="CJ9" i="2"/>
  <c r="CO9" i="2" s="1"/>
  <c r="BA9" i="2"/>
  <c r="BC9" i="2" s="1"/>
  <c r="BC10" i="2"/>
  <c r="Z83" i="2"/>
  <c r="AE83" i="2"/>
  <c r="W84" i="2"/>
  <c r="G82" i="2"/>
  <c r="D83" i="2"/>
  <c r="Y78" i="1"/>
  <c r="X78" i="1"/>
  <c r="AD79" i="1"/>
  <c r="P81" i="1"/>
  <c r="R80" i="1"/>
  <c r="Z84" i="2" l="1"/>
  <c r="AE84" i="2"/>
  <c r="D84" i="2"/>
  <c r="G83" i="2"/>
  <c r="AD80" i="1"/>
  <c r="Y79" i="1"/>
  <c r="X79" i="1"/>
  <c r="X82" i="1"/>
  <c r="P82" i="1"/>
  <c r="R81" i="1"/>
  <c r="AA80" i="1"/>
  <c r="G84" i="2" l="1"/>
  <c r="AD81" i="1"/>
  <c r="Y80" i="1"/>
  <c r="X80" i="1"/>
  <c r="AA81" i="1"/>
  <c r="R82" i="1"/>
  <c r="AA82" i="1"/>
  <c r="Y81" i="1" l="1"/>
  <c r="Y82" i="1"/>
  <c r="X81" i="1"/>
</calcChain>
</file>

<file path=xl/sharedStrings.xml><?xml version="1.0" encoding="utf-8"?>
<sst xmlns="http://schemas.openxmlformats.org/spreadsheetml/2006/main" count="282" uniqueCount="55">
  <si>
    <t>Reading</t>
  </si>
  <si>
    <t>---&gt;</t>
  </si>
  <si>
    <t>Deviation</t>
  </si>
  <si>
    <t>Cummulative</t>
  </si>
  <si>
    <t xml:space="preserve">commanded </t>
  </si>
  <si>
    <t>coord</t>
  </si>
  <si>
    <t>move</t>
  </si>
  <si>
    <t xml:space="preserve">err per the </t>
  </si>
  <si>
    <t>corrected</t>
  </si>
  <si>
    <t>&lt;-----</t>
  </si>
  <si>
    <t>First Measurmenet - only to the right and only to X1000</t>
  </si>
  <si>
    <t>move in mm</t>
  </si>
  <si>
    <t>commanded X</t>
  </si>
  <si>
    <t>Cummulative deviation</t>
  </si>
  <si>
    <t>Error per 20 mm move</t>
  </si>
  <si>
    <t>Second measurmenet to the RIGHT to 1520 mm</t>
  </si>
  <si>
    <t>Third measurmenet to the RIGHT to 1520 mm</t>
  </si>
  <si>
    <t>First run to the LEFT from 1520 x 0</t>
  </si>
  <si>
    <t>Second run to the LEFT from 1520 x 0</t>
  </si>
  <si>
    <t>First measurmenet to the LEFT from 1520 mm  to 0 (G91, X20 76 times)</t>
  </si>
  <si>
    <t>calc reading</t>
  </si>
  <si>
    <t>raw reading</t>
  </si>
  <si>
    <t>single travel</t>
  </si>
  <si>
    <t xml:space="preserve">Start from </t>
  </si>
  <si>
    <t>start</t>
  </si>
  <si>
    <t>&lt;-</t>
  </si>
  <si>
    <t>'&lt;-</t>
  </si>
  <si>
    <t>travel</t>
  </si>
  <si>
    <t>single</t>
  </si>
  <si>
    <t>First measurmenet to the RIGHT from 0 to 1520 mm (G91, X20 - 76 times)</t>
  </si>
  <si>
    <t>Second measurmenet to the RIGHT from 0 to 1520 mm (G91, X20 - 76 times)</t>
  </si>
  <si>
    <t xml:space="preserve">difference </t>
  </si>
  <si>
    <t>Error per the move</t>
  </si>
  <si>
    <t>&lt;---</t>
  </si>
  <si>
    <t>First measurmenet to the RIGHT from 0 to 1520 mm (G90, X20, X0, X40, X0, X60, X0... 152 times)</t>
  </si>
  <si>
    <t>Second measurmenet to the RIGHT from 0 to 1520 mm (G90, X20, X0, X40, X0, X60, X0... 152 times)</t>
  </si>
  <si>
    <t>Second measurmenet to the LEFT from 1520 mm  to 0 (G91, X20 76 times)</t>
  </si>
  <si>
    <t>With G90 I bring tne machine to the X-3, then I move it to the right to X0 in оrder to take out all backlash. Then I 'zero' the scale and command X20, read the scale (without zeroing), command X0 to the left, read the scale (without zeroing), command X40 to the right and so on.</t>
  </si>
  <si>
    <t>Basically I have 76 movements to the RIGHT and 76 movements to the LEFT, but my start position is at X0</t>
  </si>
  <si>
    <t xml:space="preserve">With G90 I bring tne machine to the X-3,then I move it to the right to X0 in оrder to take out all backlash. Then I 'zero' the scale and command G91 X20, and read the scale (without zeroing) 76 times times </t>
  </si>
  <si>
    <t xml:space="preserve">untill reaching 1520 </t>
  </si>
  <si>
    <t xml:space="preserve">With G90 I bring tne machine to the X1523,then I move it to the left to X1520 in оrder to take out all backlash. Then I 'zero' the scale and command G91 X-20, and read the scale (without zeroing) 76 times times </t>
  </si>
  <si>
    <t>untill reaching 0</t>
  </si>
  <si>
    <t>commanded</t>
  </si>
  <si>
    <t>-&gt; backlash</t>
  </si>
  <si>
    <t>Moving slowly to the right or left with 0,01 increments until the scale registeres the move</t>
  </si>
  <si>
    <t>After the end of the last 8-th session the machine ended at right side and the scale was reading -0,72</t>
  </si>
  <si>
    <t>Control meausrement - start form -0,72 on the scale. Move to the left (command 1520) - register -1518,26. Then command to the right - the scale read -0,715, then to the left -&gt; -1518,27, then to th eright -&gt; -0,725</t>
  </si>
  <si>
    <t>Third measurmenet to the RIGHT from 0 to 1520 mm (G91, X20 - 76 times)</t>
  </si>
  <si>
    <t>Fourth measurmenet to the RIGHT from 0 to 1520 mm (G91, X20 - 76 times)</t>
  </si>
  <si>
    <t>Fifth measurmenet to the RIGHT from 0 to 1520 mm (G91, X20 - 76 times)</t>
  </si>
  <si>
    <t>Средни стойности от 5-те измервания</t>
  </si>
  <si>
    <t>ТThird measurmenet to the LEFT from 1520 mm  to 0 (G91, X20 76 times)</t>
  </si>
  <si>
    <t>Fourth measurmenet to the LEFT from 1520 mm  to 0 (G91, X20 76 times)</t>
  </si>
  <si>
    <t>Fifth measurmenet to the LEFT from 1520 mm  to 0 (G91, X20 76 times)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</si>
</sst>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2"/>
      <color rgb="FF0070C0"/>
      <name val="Calibri"/>
      <family val="2"/>
      <scheme val="minor"/>
    </font>
    <font>
      <sz val="2"/>
      <color rgb="FFFF0000"/>
      <name val="Calibri"/>
      <family val="2"/>
      <scheme val="minor"/>
    </font>
    <font>
      <sz val="2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quotePrefix="1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0" fontId="0" fillId="2" borderId="0" xfId="0" applyFill="1"/>
    <xf numFmtId="164" fontId="3" fillId="0" borderId="0" xfId="0" applyNumberFormat="1" applyFont="1"/>
    <xf numFmtId="0" fontId="3" fillId="0" borderId="0" xfId="0" applyFont="1"/>
    <xf numFmtId="1" fontId="0" fillId="0" borderId="0" xfId="0" applyNumberFormat="1"/>
    <xf numFmtId="0" fontId="0" fillId="0" borderId="0" xfId="0" applyNumberFormat="1"/>
    <xf numFmtId="164" fontId="4" fillId="0" borderId="0" xfId="0" applyNumberFormat="1" applyFont="1"/>
    <xf numFmtId="0" fontId="4" fillId="0" borderId="0" xfId="0" applyFont="1"/>
    <xf numFmtId="164" fontId="5" fillId="0" borderId="0" xfId="0" applyNumberFormat="1" applyFont="1"/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/>
    <xf numFmtId="164" fontId="6" fillId="0" borderId="0" xfId="0" applyNumberFormat="1" applyFont="1"/>
    <xf numFmtId="164" fontId="7" fillId="0" borderId="0" xfId="0" applyNumberFormat="1" applyFont="1"/>
    <xf numFmtId="164" fontId="8" fillId="0" borderId="0" xfId="0" applyNumberFormat="1" applyFont="1"/>
    <xf numFmtId="164" fontId="0" fillId="0" borderId="0" xfId="0" applyNumberFormat="1" applyFont="1"/>
    <xf numFmtId="164" fontId="0" fillId="2" borderId="0" xfId="0" applyNumberFormat="1" applyFill="1"/>
    <xf numFmtId="0" fontId="0" fillId="0" borderId="0" xfId="0" applyFont="1" applyAlignment="1">
      <alignment horizontal="center" wrapText="1"/>
    </xf>
    <xf numFmtId="0" fontId="0" fillId="0" borderId="0" xfId="0" applyFont="1"/>
    <xf numFmtId="164" fontId="9" fillId="0" borderId="0" xfId="0" applyNumberFormat="1" applyFont="1"/>
    <xf numFmtId="0" fontId="5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164" fontId="10" fillId="0" borderId="0" xfId="0" applyNumberFormat="1" applyFont="1"/>
    <xf numFmtId="164" fontId="11" fillId="0" borderId="0" xfId="0" applyNumberFormat="1" applyFont="1"/>
    <xf numFmtId="164" fontId="12" fillId="0" borderId="0" xfId="0" applyNumberFormat="1" applyFont="1"/>
    <xf numFmtId="0" fontId="11" fillId="0" borderId="0" xfId="0" applyFont="1"/>
    <xf numFmtId="0" fontId="12" fillId="0" borderId="0" xfId="0" applyFont="1" applyAlignment="1">
      <alignment horizontal="center" wrapText="1"/>
    </xf>
    <xf numFmtId="0" fontId="11" fillId="0" borderId="0" xfId="0" quotePrefix="1" applyFont="1" applyAlignment="1">
      <alignment horizontal="right"/>
    </xf>
    <xf numFmtId="0" fontId="5" fillId="0" borderId="0" xfId="0" quotePrefix="1" applyFont="1" applyAlignment="1">
      <alignment horizontal="right"/>
    </xf>
    <xf numFmtId="0" fontId="0" fillId="3" borderId="0" xfId="0" applyFill="1"/>
    <xf numFmtId="164" fontId="0" fillId="3" borderId="0" xfId="0" applyNumberFormat="1" applyFill="1"/>
    <xf numFmtId="0" fontId="0" fillId="4" borderId="0" xfId="0" applyFont="1" applyFill="1"/>
    <xf numFmtId="0" fontId="0" fillId="4" borderId="0" xfId="0" applyFont="1" applyFill="1" applyAlignment="1">
      <alignment horizontal="center" wrapText="1"/>
    </xf>
    <xf numFmtId="0" fontId="13" fillId="0" borderId="0" xfId="0" quotePrefix="1" applyFont="1" applyAlignment="1">
      <alignment horizontal="right"/>
    </xf>
    <xf numFmtId="0" fontId="13" fillId="0" borderId="0" xfId="0" applyFont="1"/>
    <xf numFmtId="164" fontId="13" fillId="0" borderId="0" xfId="0" applyNumberFormat="1" applyFont="1"/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4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1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60"/>
  <sheetViews>
    <sheetView zoomScale="90" zoomScaleNormal="90" workbookViewId="0">
      <selection sqref="A1:AV96"/>
    </sheetView>
  </sheetViews>
  <sheetFormatPr defaultRowHeight="14.25" x14ac:dyDescent="0.45"/>
  <cols>
    <col min="3" max="3" width="11" customWidth="1"/>
    <col min="4" max="4" width="11.796875" customWidth="1"/>
    <col min="5" max="5" width="10.19921875" bestFit="1" customWidth="1"/>
    <col min="6" max="6" width="11.9296875" customWidth="1"/>
    <col min="7" max="7" width="10.796875" customWidth="1"/>
    <col min="16" max="16" width="12.06640625" customWidth="1"/>
    <col min="18" max="18" width="12.86328125" customWidth="1"/>
    <col min="19" max="19" width="12.3984375" customWidth="1"/>
    <col min="22" max="22" width="11.796875" customWidth="1"/>
    <col min="24" max="24" width="12.46484375" customWidth="1"/>
    <col min="25" max="25" width="10.46484375" customWidth="1"/>
    <col min="38" max="38" width="11.9296875" customWidth="1"/>
    <col min="39" max="39" width="10.86328125" customWidth="1"/>
    <col min="42" max="42" width="11.53125" customWidth="1"/>
    <col min="43" max="43" width="10.86328125" customWidth="1"/>
  </cols>
  <sheetData>
    <row r="1" spans="1:43" ht="14.65" thickBot="1" x14ac:dyDescent="0.5">
      <c r="K1" s="5"/>
    </row>
    <row r="2" spans="1:43" ht="14.65" thickBot="1" x14ac:dyDescent="0.5">
      <c r="B2" s="43" t="s">
        <v>10</v>
      </c>
      <c r="C2" s="44"/>
      <c r="D2" s="44"/>
      <c r="E2" s="44"/>
      <c r="F2" s="44"/>
      <c r="G2" s="44"/>
      <c r="H2" s="45"/>
      <c r="K2" s="5"/>
      <c r="M2" s="43" t="s">
        <v>15</v>
      </c>
      <c r="N2" s="44"/>
      <c r="O2" s="44"/>
      <c r="P2" s="44"/>
      <c r="Q2" s="44"/>
      <c r="R2" s="44"/>
      <c r="S2" s="45"/>
      <c r="T2" s="13"/>
      <c r="U2" s="43" t="s">
        <v>16</v>
      </c>
      <c r="V2" s="44"/>
      <c r="W2" s="44"/>
      <c r="X2" s="44"/>
      <c r="Y2" s="44"/>
      <c r="Z2" s="44"/>
      <c r="AA2" s="45"/>
    </row>
    <row r="3" spans="1:43" ht="14.65" thickBot="1" x14ac:dyDescent="0.5">
      <c r="B3" s="46"/>
      <c r="C3" s="47"/>
      <c r="D3" s="47"/>
      <c r="E3" s="47"/>
      <c r="F3" s="47"/>
      <c r="G3" s="47"/>
      <c r="H3" s="48"/>
      <c r="K3" s="5"/>
      <c r="M3" s="46"/>
      <c r="N3" s="47"/>
      <c r="O3" s="47"/>
      <c r="P3" s="47"/>
      <c r="Q3" s="47"/>
      <c r="R3" s="47"/>
      <c r="S3" s="48"/>
      <c r="T3" s="13"/>
      <c r="U3" s="46"/>
      <c r="V3" s="47"/>
      <c r="W3" s="47"/>
      <c r="X3" s="47"/>
      <c r="Y3" s="47"/>
      <c r="Z3" s="47"/>
      <c r="AA3" s="48"/>
      <c r="AJ3" s="43" t="s">
        <v>17</v>
      </c>
      <c r="AK3" s="44"/>
      <c r="AL3" s="44"/>
      <c r="AM3" s="45"/>
      <c r="AN3" s="43" t="s">
        <v>18</v>
      </c>
      <c r="AO3" s="44"/>
      <c r="AP3" s="44"/>
      <c r="AQ3" s="45"/>
    </row>
    <row r="4" spans="1:43" ht="14.65" thickBot="1" x14ac:dyDescent="0.5">
      <c r="K4" s="5"/>
      <c r="AJ4" s="46"/>
      <c r="AK4" s="47"/>
      <c r="AL4" s="47"/>
      <c r="AM4" s="48"/>
      <c r="AN4" s="46"/>
      <c r="AO4" s="47"/>
      <c r="AP4" s="47"/>
      <c r="AQ4" s="48"/>
    </row>
    <row r="5" spans="1:43" x14ac:dyDescent="0.45">
      <c r="C5" s="1" t="s">
        <v>1</v>
      </c>
      <c r="D5" s="41" t="s">
        <v>12</v>
      </c>
      <c r="F5" s="41" t="s">
        <v>13</v>
      </c>
      <c r="G5" s="42" t="s">
        <v>14</v>
      </c>
      <c r="H5" s="11" t="s">
        <v>8</v>
      </c>
      <c r="K5" s="5"/>
      <c r="O5" s="1" t="s">
        <v>1</v>
      </c>
      <c r="P5" s="41" t="s">
        <v>12</v>
      </c>
      <c r="R5" s="41" t="s">
        <v>13</v>
      </c>
      <c r="S5" s="42" t="s">
        <v>14</v>
      </c>
      <c r="T5" s="14"/>
      <c r="V5" s="41" t="s">
        <v>12</v>
      </c>
      <c r="X5" s="41" t="s">
        <v>13</v>
      </c>
      <c r="Y5" s="42" t="s">
        <v>14</v>
      </c>
      <c r="AA5" s="11" t="s">
        <v>8</v>
      </c>
      <c r="AI5" s="1" t="s">
        <v>9</v>
      </c>
      <c r="AJ5" t="s">
        <v>4</v>
      </c>
      <c r="AL5" t="s">
        <v>3</v>
      </c>
      <c r="AM5" s="15" t="s">
        <v>7</v>
      </c>
      <c r="AP5" t="s">
        <v>3</v>
      </c>
      <c r="AQ5" s="15" t="s">
        <v>7</v>
      </c>
    </row>
    <row r="6" spans="1:43" x14ac:dyDescent="0.45">
      <c r="C6" t="s">
        <v>11</v>
      </c>
      <c r="D6" s="41"/>
      <c r="E6" t="s">
        <v>0</v>
      </c>
      <c r="F6" s="41"/>
      <c r="G6" s="42"/>
      <c r="H6" s="11" t="s">
        <v>5</v>
      </c>
      <c r="K6" s="5"/>
      <c r="O6" t="s">
        <v>6</v>
      </c>
      <c r="P6" s="41"/>
      <c r="Q6" t="s">
        <v>0</v>
      </c>
      <c r="R6" s="41"/>
      <c r="S6" s="42"/>
      <c r="T6" s="14"/>
      <c r="V6" s="41"/>
      <c r="W6" t="s">
        <v>0</v>
      </c>
      <c r="X6" s="41"/>
      <c r="Y6" s="42"/>
      <c r="AA6" s="11" t="s">
        <v>5</v>
      </c>
      <c r="AI6" t="s">
        <v>6</v>
      </c>
      <c r="AJ6" t="s">
        <v>5</v>
      </c>
      <c r="AK6" t="s">
        <v>0</v>
      </c>
      <c r="AL6" t="s">
        <v>2</v>
      </c>
      <c r="AM6" s="15" t="s">
        <v>6</v>
      </c>
      <c r="AO6" t="s">
        <v>0</v>
      </c>
      <c r="AP6" t="s">
        <v>2</v>
      </c>
      <c r="AQ6" s="15" t="s">
        <v>6</v>
      </c>
    </row>
    <row r="7" spans="1:43" x14ac:dyDescent="0.45">
      <c r="A7">
        <v>1</v>
      </c>
      <c r="C7">
        <v>20</v>
      </c>
      <c r="D7">
        <v>20</v>
      </c>
      <c r="E7" s="2">
        <v>19.95</v>
      </c>
      <c r="F7" s="6">
        <f>E7-D7</f>
        <v>-5.0000000000000711E-2</v>
      </c>
      <c r="G7" s="12">
        <f>F7</f>
        <v>-5.0000000000000711E-2</v>
      </c>
      <c r="H7" s="10">
        <f t="shared" ref="H7:H38" si="0">D7-F7</f>
        <v>20.05</v>
      </c>
      <c r="K7" s="5"/>
      <c r="N7">
        <v>1</v>
      </c>
      <c r="O7">
        <v>20</v>
      </c>
      <c r="P7">
        <v>20</v>
      </c>
      <c r="Q7" s="2">
        <v>19.98</v>
      </c>
      <c r="R7" s="6">
        <f>Q7-P7</f>
        <v>-1.9999999999999574E-2</v>
      </c>
      <c r="S7" s="12">
        <f>R7</f>
        <v>-1.9999999999999574E-2</v>
      </c>
      <c r="T7" s="12"/>
      <c r="U7" s="2"/>
      <c r="V7" s="9">
        <v>20</v>
      </c>
      <c r="W7" s="2">
        <v>19.925000000000001</v>
      </c>
      <c r="X7" s="6">
        <f>W7-V7</f>
        <v>-7.4999999999999289E-2</v>
      </c>
      <c r="Y7" s="12">
        <f>X7</f>
        <v>-7.4999999999999289E-2</v>
      </c>
      <c r="Z7" s="2"/>
      <c r="AA7" s="10">
        <f>P7-R7</f>
        <v>20.02</v>
      </c>
      <c r="AB7" s="2"/>
      <c r="AD7" s="2">
        <f t="shared" ref="AD7:AD70" si="1">R7-AL7</f>
        <v>0.19999999999991402</v>
      </c>
      <c r="AE7" s="2">
        <f t="shared" ref="AE7:AE70" si="2">AM7-S7</f>
        <v>-0.10500000000000043</v>
      </c>
      <c r="AF7" s="2"/>
      <c r="AG7" s="8">
        <f t="shared" ref="AG7" si="3">AG8+1</f>
        <v>76</v>
      </c>
      <c r="AH7" s="16">
        <v>560.16499999999996</v>
      </c>
      <c r="AI7">
        <v>20</v>
      </c>
      <c r="AJ7">
        <v>0</v>
      </c>
      <c r="AK7" s="4">
        <f t="shared" ref="AK7" si="4">559.945-AH7</f>
        <v>-0.2199999999999136</v>
      </c>
      <c r="AL7" s="6">
        <f t="shared" ref="AL7" si="5">AK7-AJ7</f>
        <v>-0.2199999999999136</v>
      </c>
      <c r="AM7" s="12">
        <f t="shared" ref="AM7" si="6">AK8-AK7-AI7</f>
        <v>-0.125</v>
      </c>
      <c r="AN7" s="16">
        <v>560.18499999999995</v>
      </c>
      <c r="AO7" s="4">
        <f t="shared" ref="AO7:AO33" si="7">559.825-AN7</f>
        <v>-0.35999999999989996</v>
      </c>
      <c r="AP7" s="6">
        <f t="shared" ref="AP7:AP70" si="8">AO7-AJ7</f>
        <v>-0.35999999999989996</v>
      </c>
      <c r="AQ7" s="12">
        <f t="shared" ref="AQ7:AQ70" si="9">AO8-AO7-AI7</f>
        <v>-0.11000000000001364</v>
      </c>
    </row>
    <row r="8" spans="1:43" x14ac:dyDescent="0.45">
      <c r="A8">
        <f>A7+1</f>
        <v>2</v>
      </c>
      <c r="C8">
        <v>20</v>
      </c>
      <c r="D8">
        <f>D7+C8</f>
        <v>40</v>
      </c>
      <c r="E8" s="2">
        <v>39.950000000000003</v>
      </c>
      <c r="F8" s="6">
        <f t="shared" ref="F8:F56" si="10">E8-D8</f>
        <v>-4.9999999999997158E-2</v>
      </c>
      <c r="G8" s="12">
        <f>(E8-E7)-C8</f>
        <v>0</v>
      </c>
      <c r="H8" s="10">
        <f t="shared" si="0"/>
        <v>40.049999999999997</v>
      </c>
      <c r="K8" s="5"/>
      <c r="N8">
        <f>N7+1</f>
        <v>2</v>
      </c>
      <c r="O8">
        <v>20</v>
      </c>
      <c r="P8">
        <f>P7+O8</f>
        <v>40</v>
      </c>
      <c r="Q8" s="2">
        <v>39.99</v>
      </c>
      <c r="R8" s="6">
        <f t="shared" ref="R8:R71" si="11">Q8-P8</f>
        <v>-9.9999999999980105E-3</v>
      </c>
      <c r="S8" s="12">
        <f>(Q8-Q7)-O8</f>
        <v>1.0000000000001563E-2</v>
      </c>
      <c r="T8" s="12"/>
      <c r="U8" s="2"/>
      <c r="V8" s="9">
        <f>V7+20</f>
        <v>40</v>
      </c>
      <c r="W8" s="2">
        <v>39.945</v>
      </c>
      <c r="X8" s="6">
        <f t="shared" ref="X8:X71" si="12">W8-V8</f>
        <v>-5.4999999999999716E-2</v>
      </c>
      <c r="Y8" s="12">
        <f>(W8-W7)-U8</f>
        <v>20.02</v>
      </c>
      <c r="Z8" s="2"/>
      <c r="AA8" s="10">
        <f t="shared" ref="AA8:AA71" si="13">P8-R8</f>
        <v>40.01</v>
      </c>
      <c r="AB8" s="2"/>
      <c r="AD8" s="2">
        <f t="shared" si="1"/>
        <v>0.33499999999991559</v>
      </c>
      <c r="AE8" s="2">
        <f t="shared" si="2"/>
        <v>-1.4999999999997016E-2</v>
      </c>
      <c r="AF8" s="2"/>
      <c r="AG8" s="8">
        <f t="shared" ref="AG8" si="14">AG9+1</f>
        <v>75</v>
      </c>
      <c r="AH8" s="16">
        <v>540.29</v>
      </c>
      <c r="AI8">
        <v>20</v>
      </c>
      <c r="AJ8">
        <v>20</v>
      </c>
      <c r="AK8" s="4">
        <f t="shared" ref="AK8:AK33" si="15">559.945-AH8</f>
        <v>19.655000000000086</v>
      </c>
      <c r="AL8" s="6">
        <f t="shared" ref="AL8:AL69" si="16">AK8-AJ8</f>
        <v>-0.3449999999999136</v>
      </c>
      <c r="AM8" s="12">
        <f t="shared" ref="AM8" si="17">AK9-AK8-AI8</f>
        <v>-4.9999999999954525E-3</v>
      </c>
      <c r="AN8" s="16">
        <v>540.29499999999996</v>
      </c>
      <c r="AO8" s="4">
        <f t="shared" si="7"/>
        <v>19.530000000000086</v>
      </c>
      <c r="AP8" s="6">
        <f t="shared" si="8"/>
        <v>-0.4699999999999136</v>
      </c>
      <c r="AQ8" s="12">
        <f t="shared" si="9"/>
        <v>4.9999999999954525E-3</v>
      </c>
    </row>
    <row r="9" spans="1:43" x14ac:dyDescent="0.45">
      <c r="A9">
        <f t="shared" ref="A9:A56" si="18">A8+1</f>
        <v>3</v>
      </c>
      <c r="C9">
        <v>20</v>
      </c>
      <c r="D9">
        <f t="shared" ref="D9:D56" si="19">D8+C9</f>
        <v>60</v>
      </c>
      <c r="E9" s="2">
        <v>59.994999999999997</v>
      </c>
      <c r="F9" s="6">
        <f t="shared" si="10"/>
        <v>-5.000000000002558E-3</v>
      </c>
      <c r="G9" s="12">
        <f t="shared" ref="G9:G56" si="20">(E9-E8)-C9</f>
        <v>4.49999999999946E-2</v>
      </c>
      <c r="H9" s="10">
        <f t="shared" si="0"/>
        <v>60.005000000000003</v>
      </c>
      <c r="K9" s="5"/>
      <c r="N9">
        <f t="shared" ref="N9:N72" si="21">N8+1</f>
        <v>3</v>
      </c>
      <c r="O9">
        <v>20</v>
      </c>
      <c r="P9">
        <f t="shared" ref="P9:P72" si="22">P8+O9</f>
        <v>60</v>
      </c>
      <c r="Q9" s="2">
        <v>60.05</v>
      </c>
      <c r="R9" s="6">
        <f t="shared" si="11"/>
        <v>4.9999999999997158E-2</v>
      </c>
      <c r="S9" s="12">
        <f t="shared" ref="S9:S72" si="23">(Q9-Q8)-O9</f>
        <v>5.9999999999995168E-2</v>
      </c>
      <c r="T9" s="12"/>
      <c r="U9" s="2"/>
      <c r="V9" s="9">
        <f t="shared" ref="V9:V72" si="24">V8+20</f>
        <v>60</v>
      </c>
      <c r="W9" s="2">
        <v>60.005000000000003</v>
      </c>
      <c r="X9" s="6">
        <f t="shared" si="12"/>
        <v>5.000000000002558E-3</v>
      </c>
      <c r="Y9" s="12">
        <f t="shared" ref="Y9:Y72" si="25">(W9-W8)-U9</f>
        <v>20.060000000000002</v>
      </c>
      <c r="Z9" s="2"/>
      <c r="AA9" s="10">
        <f t="shared" si="13"/>
        <v>59.95</v>
      </c>
      <c r="AB9" s="2"/>
      <c r="AD9" s="2">
        <f t="shared" si="1"/>
        <v>0.39999999999990621</v>
      </c>
      <c r="AE9" s="2">
        <f t="shared" si="2"/>
        <v>-6.0000000000052012E-2</v>
      </c>
      <c r="AF9" s="2"/>
      <c r="AG9" s="8">
        <f t="shared" ref="AG9" si="26">AG10+1</f>
        <v>74</v>
      </c>
      <c r="AH9" s="16">
        <v>520.29499999999996</v>
      </c>
      <c r="AI9">
        <v>20</v>
      </c>
      <c r="AJ9">
        <f>AJ8+AI9</f>
        <v>40</v>
      </c>
      <c r="AK9" s="4">
        <f t="shared" si="15"/>
        <v>39.650000000000091</v>
      </c>
      <c r="AL9" s="6">
        <f t="shared" si="16"/>
        <v>-0.34999999999990905</v>
      </c>
      <c r="AM9" s="12">
        <f t="shared" ref="AM9" si="27">AK10-AK9-AI9</f>
        <v>-5.6843418860808015E-14</v>
      </c>
      <c r="AN9" s="16">
        <v>520.29</v>
      </c>
      <c r="AO9" s="4">
        <f t="shared" si="7"/>
        <v>39.535000000000082</v>
      </c>
      <c r="AP9" s="6">
        <f t="shared" si="8"/>
        <v>-0.46499999999991815</v>
      </c>
      <c r="AQ9" s="12">
        <f t="shared" si="9"/>
        <v>-5.0000000000522959E-3</v>
      </c>
    </row>
    <row r="10" spans="1:43" x14ac:dyDescent="0.45">
      <c r="A10">
        <f t="shared" si="18"/>
        <v>4</v>
      </c>
      <c r="C10">
        <v>20</v>
      </c>
      <c r="D10">
        <f t="shared" si="19"/>
        <v>80</v>
      </c>
      <c r="E10" s="2">
        <v>79.965000000000003</v>
      </c>
      <c r="F10" s="6">
        <f t="shared" si="10"/>
        <v>-3.4999999999996589E-2</v>
      </c>
      <c r="G10" s="12">
        <f t="shared" si="20"/>
        <v>-2.9999999999994031E-2</v>
      </c>
      <c r="H10" s="10">
        <f t="shared" si="0"/>
        <v>80.034999999999997</v>
      </c>
      <c r="K10" s="5"/>
      <c r="N10">
        <f t="shared" si="21"/>
        <v>4</v>
      </c>
      <c r="O10">
        <v>20</v>
      </c>
      <c r="P10">
        <f t="shared" si="22"/>
        <v>80</v>
      </c>
      <c r="Q10" s="2">
        <v>80.02</v>
      </c>
      <c r="R10" s="6">
        <f t="shared" si="11"/>
        <v>1.9999999999996021E-2</v>
      </c>
      <c r="S10" s="12">
        <f t="shared" si="23"/>
        <v>-3.0000000000001137E-2</v>
      </c>
      <c r="T10" s="12"/>
      <c r="U10" s="2"/>
      <c r="V10" s="9">
        <f t="shared" si="24"/>
        <v>80</v>
      </c>
      <c r="W10" s="2">
        <v>80.010000000000005</v>
      </c>
      <c r="X10" s="6">
        <f t="shared" si="12"/>
        <v>1.0000000000005116E-2</v>
      </c>
      <c r="Y10" s="12">
        <f t="shared" si="25"/>
        <v>20.005000000000003</v>
      </c>
      <c r="Z10" s="2"/>
      <c r="AA10" s="10">
        <f t="shared" si="13"/>
        <v>79.98</v>
      </c>
      <c r="AB10" s="2"/>
      <c r="AD10" s="2">
        <f t="shared" si="1"/>
        <v>0.36999999999996191</v>
      </c>
      <c r="AE10" s="2">
        <f t="shared" si="2"/>
        <v>8.0000000000012506E-2</v>
      </c>
      <c r="AF10" s="2"/>
      <c r="AG10" s="8">
        <f t="shared" ref="AG10" si="28">AG11+1</f>
        <v>73</v>
      </c>
      <c r="AH10" s="16">
        <v>500.29500000000002</v>
      </c>
      <c r="AI10">
        <v>20</v>
      </c>
      <c r="AJ10">
        <f t="shared" ref="AJ10:AJ19" si="29">AJ9+AI10</f>
        <v>60</v>
      </c>
      <c r="AK10" s="4">
        <f t="shared" si="15"/>
        <v>59.650000000000034</v>
      </c>
      <c r="AL10" s="6">
        <f t="shared" si="16"/>
        <v>-0.34999999999996589</v>
      </c>
      <c r="AM10" s="12">
        <f t="shared" ref="AM10" si="30">AK11-AK10-AI10</f>
        <v>5.0000000000011369E-2</v>
      </c>
      <c r="AN10" s="16">
        <v>500.29500000000002</v>
      </c>
      <c r="AO10" s="4">
        <f t="shared" si="7"/>
        <v>59.53000000000003</v>
      </c>
      <c r="AP10" s="6">
        <f t="shared" si="8"/>
        <v>-0.46999999999997044</v>
      </c>
      <c r="AQ10" s="12">
        <f t="shared" si="9"/>
        <v>-1.999999999998181E-2</v>
      </c>
    </row>
    <row r="11" spans="1:43" x14ac:dyDescent="0.45">
      <c r="A11">
        <f t="shared" si="18"/>
        <v>5</v>
      </c>
      <c r="C11">
        <v>20</v>
      </c>
      <c r="D11">
        <f t="shared" si="19"/>
        <v>100</v>
      </c>
      <c r="E11" s="2">
        <v>99.954999999999998</v>
      </c>
      <c r="F11" s="6">
        <f t="shared" si="10"/>
        <v>-4.5000000000001705E-2</v>
      </c>
      <c r="G11" s="12">
        <f t="shared" si="20"/>
        <v>-1.0000000000005116E-2</v>
      </c>
      <c r="H11" s="10">
        <f t="shared" si="0"/>
        <v>100.045</v>
      </c>
      <c r="K11" s="5"/>
      <c r="N11">
        <f t="shared" si="21"/>
        <v>5</v>
      </c>
      <c r="O11">
        <v>20</v>
      </c>
      <c r="P11">
        <f t="shared" si="22"/>
        <v>100</v>
      </c>
      <c r="Q11" s="2">
        <v>99.99</v>
      </c>
      <c r="R11" s="6">
        <f t="shared" si="11"/>
        <v>-1.0000000000005116E-2</v>
      </c>
      <c r="S11" s="12">
        <f t="shared" si="23"/>
        <v>-3.0000000000001137E-2</v>
      </c>
      <c r="T11" s="12"/>
      <c r="U11" s="2"/>
      <c r="V11" s="9">
        <f t="shared" si="24"/>
        <v>100</v>
      </c>
      <c r="W11" s="2">
        <v>99.97</v>
      </c>
      <c r="X11" s="6">
        <f t="shared" si="12"/>
        <v>-3.0000000000001137E-2</v>
      </c>
      <c r="Y11" s="12">
        <f t="shared" si="25"/>
        <v>19.959999999999994</v>
      </c>
      <c r="Z11" s="2"/>
      <c r="AA11" s="10">
        <f t="shared" si="13"/>
        <v>100.01</v>
      </c>
      <c r="AB11" s="2"/>
      <c r="AD11" s="2">
        <f t="shared" si="1"/>
        <v>0.28999999999994941</v>
      </c>
      <c r="AE11" s="2">
        <f t="shared" si="2"/>
        <v>-1.5000000000014779E-2</v>
      </c>
      <c r="AF11" s="2"/>
      <c r="AG11" s="8">
        <f t="shared" ref="AG11" si="31">AG12+1</f>
        <v>72</v>
      </c>
      <c r="AH11" s="16">
        <v>480.245</v>
      </c>
      <c r="AI11">
        <v>20</v>
      </c>
      <c r="AJ11">
        <f t="shared" si="29"/>
        <v>80</v>
      </c>
      <c r="AK11" s="4">
        <f t="shared" si="15"/>
        <v>79.700000000000045</v>
      </c>
      <c r="AL11" s="6">
        <f t="shared" si="16"/>
        <v>-0.29999999999995453</v>
      </c>
      <c r="AM11" s="12">
        <f t="shared" ref="AM11" si="32">AK12-AK11-AI11</f>
        <v>-4.5000000000015916E-2</v>
      </c>
      <c r="AN11" s="16">
        <v>480.315</v>
      </c>
      <c r="AO11" s="4">
        <f t="shared" si="7"/>
        <v>79.510000000000048</v>
      </c>
      <c r="AP11" s="6">
        <f t="shared" si="8"/>
        <v>-0.48999999999995225</v>
      </c>
      <c r="AQ11" s="12">
        <f t="shared" si="9"/>
        <v>3.5000000000025011E-2</v>
      </c>
    </row>
    <row r="12" spans="1:43" x14ac:dyDescent="0.45">
      <c r="A12">
        <f t="shared" si="18"/>
        <v>6</v>
      </c>
      <c r="C12">
        <v>20</v>
      </c>
      <c r="D12">
        <f t="shared" si="19"/>
        <v>120</v>
      </c>
      <c r="E12" s="2">
        <v>119.88500000000001</v>
      </c>
      <c r="F12" s="6">
        <f t="shared" si="10"/>
        <v>-0.11499999999999488</v>
      </c>
      <c r="G12" s="12">
        <f t="shared" si="20"/>
        <v>-6.9999999999993179E-2</v>
      </c>
      <c r="H12" s="10">
        <f t="shared" si="0"/>
        <v>120.11499999999999</v>
      </c>
      <c r="K12" s="5"/>
      <c r="N12">
        <f t="shared" si="21"/>
        <v>6</v>
      </c>
      <c r="O12">
        <v>20</v>
      </c>
      <c r="P12">
        <f t="shared" si="22"/>
        <v>120</v>
      </c>
      <c r="Q12" s="2">
        <v>119.88</v>
      </c>
      <c r="R12" s="6">
        <f t="shared" si="11"/>
        <v>-0.12000000000000455</v>
      </c>
      <c r="S12" s="12">
        <f t="shared" si="23"/>
        <v>-0.10999999999999943</v>
      </c>
      <c r="T12" s="12"/>
      <c r="U12" s="2"/>
      <c r="V12" s="9">
        <f t="shared" si="24"/>
        <v>120</v>
      </c>
      <c r="W12" s="2">
        <v>119.875</v>
      </c>
      <c r="X12" s="6">
        <f t="shared" si="12"/>
        <v>-0.125</v>
      </c>
      <c r="Y12" s="12">
        <f t="shared" si="25"/>
        <v>19.905000000000001</v>
      </c>
      <c r="Z12" s="2"/>
      <c r="AA12" s="10">
        <f t="shared" si="13"/>
        <v>120.12</v>
      </c>
      <c r="AB12" s="2"/>
      <c r="AD12" s="2">
        <f t="shared" si="1"/>
        <v>0.22499999999996589</v>
      </c>
      <c r="AE12" s="2">
        <f t="shared" si="2"/>
        <v>6.0000000000044906E-2</v>
      </c>
      <c r="AF12" s="2"/>
      <c r="AG12" s="8">
        <f t="shared" ref="AG12" si="33">AG13+1</f>
        <v>71</v>
      </c>
      <c r="AH12" s="16">
        <v>460.29</v>
      </c>
      <c r="AI12">
        <v>20</v>
      </c>
      <c r="AJ12">
        <f t="shared" si="29"/>
        <v>100</v>
      </c>
      <c r="AK12" s="4">
        <f t="shared" si="15"/>
        <v>99.65500000000003</v>
      </c>
      <c r="AL12" s="6">
        <f t="shared" si="16"/>
        <v>-0.34499999999997044</v>
      </c>
      <c r="AM12" s="12">
        <f t="shared" ref="AM12" si="34">AK13-AK12-AI12</f>
        <v>-4.9999999999954525E-2</v>
      </c>
      <c r="AN12" s="16">
        <v>460.28</v>
      </c>
      <c r="AO12" s="4">
        <f t="shared" si="7"/>
        <v>99.545000000000073</v>
      </c>
      <c r="AP12" s="6">
        <f t="shared" si="8"/>
        <v>-0.45499999999992724</v>
      </c>
      <c r="AQ12" s="12">
        <f t="shared" si="9"/>
        <v>-3.5000000000025011E-2</v>
      </c>
    </row>
    <row r="13" spans="1:43" x14ac:dyDescent="0.45">
      <c r="A13">
        <f t="shared" si="18"/>
        <v>7</v>
      </c>
      <c r="C13">
        <v>20</v>
      </c>
      <c r="D13">
        <f t="shared" si="19"/>
        <v>140</v>
      </c>
      <c r="E13" s="2">
        <v>139.79499999999999</v>
      </c>
      <c r="F13" s="6">
        <f t="shared" si="10"/>
        <v>-0.20500000000001251</v>
      </c>
      <c r="G13" s="12">
        <f t="shared" si="20"/>
        <v>-9.0000000000017621E-2</v>
      </c>
      <c r="H13" s="10">
        <f t="shared" si="0"/>
        <v>140.20500000000001</v>
      </c>
      <c r="K13" s="5"/>
      <c r="N13">
        <f t="shared" si="21"/>
        <v>7</v>
      </c>
      <c r="O13">
        <v>20</v>
      </c>
      <c r="P13">
        <f t="shared" si="22"/>
        <v>140</v>
      </c>
      <c r="Q13" s="2">
        <v>139.82</v>
      </c>
      <c r="R13" s="6">
        <f t="shared" si="11"/>
        <v>-0.18000000000000682</v>
      </c>
      <c r="S13" s="12">
        <f t="shared" si="23"/>
        <v>-6.0000000000002274E-2</v>
      </c>
      <c r="T13" s="12"/>
      <c r="U13" s="2"/>
      <c r="V13" s="9">
        <f t="shared" si="24"/>
        <v>140</v>
      </c>
      <c r="W13" s="2">
        <v>139.875</v>
      </c>
      <c r="X13" s="6">
        <f t="shared" si="12"/>
        <v>-0.125</v>
      </c>
      <c r="Y13" s="12">
        <f t="shared" si="25"/>
        <v>20</v>
      </c>
      <c r="Z13" s="2"/>
      <c r="AA13" s="10">
        <f t="shared" si="13"/>
        <v>140.18</v>
      </c>
      <c r="AB13" s="2"/>
      <c r="AD13" s="2">
        <f t="shared" si="1"/>
        <v>0.21499999999991815</v>
      </c>
      <c r="AE13" s="2">
        <f t="shared" si="2"/>
        <v>6.0000000000002274E-2</v>
      </c>
      <c r="AF13" s="2"/>
      <c r="AG13" s="8">
        <f t="shared" ref="AG13" si="35">AG14+1</f>
        <v>70</v>
      </c>
      <c r="AH13" s="16">
        <v>440.34</v>
      </c>
      <c r="AI13">
        <v>20</v>
      </c>
      <c r="AJ13">
        <f t="shared" si="29"/>
        <v>120</v>
      </c>
      <c r="AK13" s="4">
        <f t="shared" si="15"/>
        <v>119.60500000000008</v>
      </c>
      <c r="AL13" s="6">
        <f t="shared" si="16"/>
        <v>-0.39499999999992497</v>
      </c>
      <c r="AM13" s="12">
        <f t="shared" ref="AM13" si="36">AK14-AK13-AI13</f>
        <v>0</v>
      </c>
      <c r="AN13" s="16">
        <v>440.315</v>
      </c>
      <c r="AO13" s="4">
        <f t="shared" si="7"/>
        <v>119.51000000000005</v>
      </c>
      <c r="AP13" s="6">
        <f t="shared" si="8"/>
        <v>-0.48999999999995225</v>
      </c>
      <c r="AQ13" s="12">
        <f t="shared" si="9"/>
        <v>-9.9999999999909051E-3</v>
      </c>
    </row>
    <row r="14" spans="1:43" x14ac:dyDescent="0.45">
      <c r="A14">
        <f t="shared" si="18"/>
        <v>8</v>
      </c>
      <c r="C14">
        <v>20</v>
      </c>
      <c r="D14">
        <f t="shared" si="19"/>
        <v>160</v>
      </c>
      <c r="E14" s="2">
        <v>159.76</v>
      </c>
      <c r="F14" s="6">
        <f t="shared" si="10"/>
        <v>-0.24000000000000909</v>
      </c>
      <c r="G14" s="12">
        <f t="shared" si="20"/>
        <v>-3.4999999999996589E-2</v>
      </c>
      <c r="H14" s="10">
        <f t="shared" si="0"/>
        <v>160.24</v>
      </c>
      <c r="K14" s="5"/>
      <c r="N14">
        <f t="shared" si="21"/>
        <v>8</v>
      </c>
      <c r="O14">
        <v>20</v>
      </c>
      <c r="P14">
        <f t="shared" si="22"/>
        <v>160</v>
      </c>
      <c r="Q14" s="2">
        <v>159.76499999999999</v>
      </c>
      <c r="R14" s="6">
        <f t="shared" si="11"/>
        <v>-0.23500000000001364</v>
      </c>
      <c r="S14" s="12">
        <f t="shared" si="23"/>
        <v>-5.5000000000006821E-2</v>
      </c>
      <c r="T14" s="12"/>
      <c r="U14" s="2"/>
      <c r="V14" s="9">
        <f t="shared" si="24"/>
        <v>160</v>
      </c>
      <c r="W14" s="2">
        <v>159.83500000000001</v>
      </c>
      <c r="X14" s="6">
        <f t="shared" si="12"/>
        <v>-0.16499999999999204</v>
      </c>
      <c r="Y14" s="12">
        <f t="shared" si="25"/>
        <v>19.960000000000008</v>
      </c>
      <c r="Z14" s="2"/>
      <c r="AA14" s="10">
        <f t="shared" si="13"/>
        <v>160.23500000000001</v>
      </c>
      <c r="AB14" s="2"/>
      <c r="AD14" s="2">
        <f t="shared" si="1"/>
        <v>0.15999999999991132</v>
      </c>
      <c r="AE14" s="2">
        <f t="shared" si="2"/>
        <v>6.9999999999993179E-2</v>
      </c>
      <c r="AF14" s="2"/>
      <c r="AG14" s="8">
        <f t="shared" ref="AG14" si="37">AG15+1</f>
        <v>69</v>
      </c>
      <c r="AH14" s="16">
        <v>420.34</v>
      </c>
      <c r="AI14">
        <v>20</v>
      </c>
      <c r="AJ14">
        <f t="shared" si="29"/>
        <v>140</v>
      </c>
      <c r="AK14" s="4">
        <f t="shared" si="15"/>
        <v>139.60500000000008</v>
      </c>
      <c r="AL14" s="6">
        <f t="shared" si="16"/>
        <v>-0.39499999999992497</v>
      </c>
      <c r="AM14" s="12">
        <f t="shared" ref="AM14" si="38">AK15-AK14-AI14</f>
        <v>1.4999999999986358E-2</v>
      </c>
      <c r="AN14" s="16">
        <v>420.32499999999999</v>
      </c>
      <c r="AO14" s="4">
        <f t="shared" si="7"/>
        <v>139.50000000000006</v>
      </c>
      <c r="AP14" s="6">
        <f t="shared" si="8"/>
        <v>-0.49999999999994316</v>
      </c>
      <c r="AQ14" s="12">
        <f t="shared" si="9"/>
        <v>9.9999999999909051E-3</v>
      </c>
    </row>
    <row r="15" spans="1:43" x14ac:dyDescent="0.45">
      <c r="A15">
        <f t="shared" si="18"/>
        <v>9</v>
      </c>
      <c r="C15">
        <v>20</v>
      </c>
      <c r="D15">
        <f t="shared" si="19"/>
        <v>180</v>
      </c>
      <c r="E15" s="2">
        <v>179.76</v>
      </c>
      <c r="F15" s="6">
        <f t="shared" si="10"/>
        <v>-0.24000000000000909</v>
      </c>
      <c r="G15" s="12">
        <f t="shared" si="20"/>
        <v>0</v>
      </c>
      <c r="H15" s="10">
        <f t="shared" si="0"/>
        <v>180.24</v>
      </c>
      <c r="K15" s="5"/>
      <c r="N15">
        <f t="shared" si="21"/>
        <v>9</v>
      </c>
      <c r="O15">
        <v>20</v>
      </c>
      <c r="P15">
        <f t="shared" si="22"/>
        <v>180</v>
      </c>
      <c r="Q15" s="2">
        <v>179.755</v>
      </c>
      <c r="R15" s="6">
        <f t="shared" si="11"/>
        <v>-0.24500000000000455</v>
      </c>
      <c r="S15" s="12">
        <f t="shared" si="23"/>
        <v>-9.9999999999909051E-3</v>
      </c>
      <c r="T15" s="12"/>
      <c r="U15" s="2"/>
      <c r="V15" s="9">
        <f t="shared" si="24"/>
        <v>180</v>
      </c>
      <c r="W15" s="2">
        <v>179.83</v>
      </c>
      <c r="X15" s="6">
        <f t="shared" si="12"/>
        <v>-0.16999999999998749</v>
      </c>
      <c r="Y15" s="12">
        <f t="shared" si="25"/>
        <v>19.995000000000005</v>
      </c>
      <c r="Z15" s="2"/>
      <c r="AA15" s="10">
        <f t="shared" si="13"/>
        <v>180.245</v>
      </c>
      <c r="AB15" s="2"/>
      <c r="AD15" s="2">
        <f t="shared" si="1"/>
        <v>0.13499999999993406</v>
      </c>
      <c r="AE15" s="2">
        <f t="shared" si="2"/>
        <v>4.9999999999954525E-2</v>
      </c>
      <c r="AF15" s="2"/>
      <c r="AG15" s="8">
        <f t="shared" ref="AG15" si="39">AG16+1</f>
        <v>68</v>
      </c>
      <c r="AH15" s="16">
        <v>400.32499999999999</v>
      </c>
      <c r="AI15">
        <v>20</v>
      </c>
      <c r="AJ15">
        <f t="shared" si="29"/>
        <v>160</v>
      </c>
      <c r="AK15" s="4">
        <f t="shared" si="15"/>
        <v>159.62000000000006</v>
      </c>
      <c r="AL15" s="6">
        <f t="shared" si="16"/>
        <v>-0.37999999999993861</v>
      </c>
      <c r="AM15" s="12">
        <f t="shared" ref="AM15" si="40">AK16-AK15-AI15</f>
        <v>3.999999999996362E-2</v>
      </c>
      <c r="AN15" s="16">
        <v>400.315</v>
      </c>
      <c r="AO15" s="4">
        <f t="shared" si="7"/>
        <v>159.51000000000005</v>
      </c>
      <c r="AP15" s="6">
        <f t="shared" si="8"/>
        <v>-0.48999999999995225</v>
      </c>
      <c r="AQ15" s="12">
        <f t="shared" si="9"/>
        <v>2.9999999999972715E-2</v>
      </c>
    </row>
    <row r="16" spans="1:43" x14ac:dyDescent="0.45">
      <c r="A16">
        <f t="shared" si="18"/>
        <v>10</v>
      </c>
      <c r="C16">
        <v>20</v>
      </c>
      <c r="D16">
        <f t="shared" si="19"/>
        <v>200</v>
      </c>
      <c r="E16" s="2">
        <v>199.82499999999999</v>
      </c>
      <c r="F16" s="6">
        <f t="shared" si="10"/>
        <v>-0.17500000000001137</v>
      </c>
      <c r="G16" s="12">
        <f t="shared" si="20"/>
        <v>6.4999999999997726E-2</v>
      </c>
      <c r="H16" s="10">
        <f t="shared" si="0"/>
        <v>200.17500000000001</v>
      </c>
      <c r="K16" s="5"/>
      <c r="N16">
        <f t="shared" si="21"/>
        <v>10</v>
      </c>
      <c r="O16">
        <v>20</v>
      </c>
      <c r="P16">
        <f t="shared" si="22"/>
        <v>200</v>
      </c>
      <c r="Q16" s="2">
        <v>199.84</v>
      </c>
      <c r="R16" s="6">
        <f t="shared" si="11"/>
        <v>-0.15999999999999659</v>
      </c>
      <c r="S16" s="12">
        <f t="shared" si="23"/>
        <v>8.5000000000007958E-2</v>
      </c>
      <c r="T16" s="12"/>
      <c r="U16" s="2"/>
      <c r="V16" s="9">
        <f t="shared" si="24"/>
        <v>200</v>
      </c>
      <c r="W16" s="2">
        <v>199.92</v>
      </c>
      <c r="X16" s="6">
        <f t="shared" si="12"/>
        <v>-8.0000000000012506E-2</v>
      </c>
      <c r="Y16" s="12">
        <f t="shared" si="25"/>
        <v>20.089999999999975</v>
      </c>
      <c r="Z16" s="2"/>
      <c r="AA16" s="10">
        <f t="shared" si="13"/>
        <v>200.16</v>
      </c>
      <c r="AB16" s="2"/>
      <c r="AD16" s="2">
        <f t="shared" si="1"/>
        <v>0.1799999999999784</v>
      </c>
      <c r="AE16" s="2">
        <f t="shared" si="2"/>
        <v>-9.9999999999624833E-3</v>
      </c>
      <c r="AF16" s="2"/>
      <c r="AG16" s="8">
        <f t="shared" ref="AG16" si="41">AG17+1</f>
        <v>67</v>
      </c>
      <c r="AH16" s="16">
        <v>380.28500000000003</v>
      </c>
      <c r="AI16">
        <v>20</v>
      </c>
      <c r="AJ16">
        <f t="shared" si="29"/>
        <v>180</v>
      </c>
      <c r="AK16" s="4">
        <f t="shared" si="15"/>
        <v>179.66000000000003</v>
      </c>
      <c r="AL16" s="6">
        <f t="shared" si="16"/>
        <v>-0.33999999999997499</v>
      </c>
      <c r="AM16" s="12">
        <f t="shared" ref="AM16" si="42">AK17-AK16-AI16</f>
        <v>7.5000000000045475E-2</v>
      </c>
      <c r="AN16" s="16">
        <v>380.28500000000003</v>
      </c>
      <c r="AO16" s="4">
        <f t="shared" si="7"/>
        <v>179.54000000000002</v>
      </c>
      <c r="AP16" s="6">
        <f t="shared" si="8"/>
        <v>-0.45999999999997954</v>
      </c>
      <c r="AQ16" s="12">
        <f t="shared" si="9"/>
        <v>7.5000000000045475E-2</v>
      </c>
    </row>
    <row r="17" spans="1:43" x14ac:dyDescent="0.45">
      <c r="A17">
        <f t="shared" si="18"/>
        <v>11</v>
      </c>
      <c r="C17">
        <v>20</v>
      </c>
      <c r="D17">
        <f t="shared" si="19"/>
        <v>220</v>
      </c>
      <c r="E17" s="2">
        <v>219.91499999999999</v>
      </c>
      <c r="F17" s="6">
        <f t="shared" si="10"/>
        <v>-8.5000000000007958E-2</v>
      </c>
      <c r="G17" s="12">
        <f t="shared" si="20"/>
        <v>9.0000000000003411E-2</v>
      </c>
      <c r="H17" s="10">
        <f t="shared" si="0"/>
        <v>220.08500000000001</v>
      </c>
      <c r="K17" s="5"/>
      <c r="N17">
        <f t="shared" si="21"/>
        <v>11</v>
      </c>
      <c r="O17">
        <v>20</v>
      </c>
      <c r="P17">
        <f t="shared" si="22"/>
        <v>220</v>
      </c>
      <c r="Q17" s="2">
        <v>219.92</v>
      </c>
      <c r="R17" s="6">
        <f t="shared" si="11"/>
        <v>-8.0000000000012506E-2</v>
      </c>
      <c r="S17" s="12">
        <f t="shared" si="23"/>
        <v>7.9999999999984084E-2</v>
      </c>
      <c r="T17" s="12"/>
      <c r="U17" s="2"/>
      <c r="V17" s="9">
        <f t="shared" si="24"/>
        <v>220</v>
      </c>
      <c r="W17" s="2">
        <v>220</v>
      </c>
      <c r="X17" s="6">
        <f t="shared" si="12"/>
        <v>0</v>
      </c>
      <c r="Y17" s="12">
        <f t="shared" si="25"/>
        <v>20.080000000000013</v>
      </c>
      <c r="Z17" s="2"/>
      <c r="AA17" s="10">
        <f t="shared" si="13"/>
        <v>220.08</v>
      </c>
      <c r="AB17" s="2"/>
      <c r="AD17" s="2">
        <f t="shared" si="1"/>
        <v>0.18499999999991701</v>
      </c>
      <c r="AE17" s="2">
        <f t="shared" si="2"/>
        <v>-2.4999999999977263E-2</v>
      </c>
      <c r="AF17" s="2"/>
      <c r="AG17" s="8">
        <f t="shared" ref="AG17" si="43">AG18+1</f>
        <v>66</v>
      </c>
      <c r="AH17" s="16">
        <v>360.21</v>
      </c>
      <c r="AI17">
        <v>20</v>
      </c>
      <c r="AJ17">
        <f t="shared" si="29"/>
        <v>200</v>
      </c>
      <c r="AK17" s="4">
        <f t="shared" si="15"/>
        <v>199.73500000000007</v>
      </c>
      <c r="AL17" s="6">
        <f t="shared" si="16"/>
        <v>-0.26499999999992951</v>
      </c>
      <c r="AM17" s="12">
        <f t="shared" ref="AM17" si="44">AK18-AK17-AI17</f>
        <v>5.5000000000006821E-2</v>
      </c>
      <c r="AN17" s="16">
        <v>360.21</v>
      </c>
      <c r="AO17" s="4">
        <f t="shared" si="7"/>
        <v>199.61500000000007</v>
      </c>
      <c r="AP17" s="6">
        <f t="shared" si="8"/>
        <v>-0.38499999999993406</v>
      </c>
      <c r="AQ17" s="12">
        <f t="shared" si="9"/>
        <v>7.4999999999988631E-2</v>
      </c>
    </row>
    <row r="18" spans="1:43" x14ac:dyDescent="0.45">
      <c r="A18">
        <f t="shared" si="18"/>
        <v>12</v>
      </c>
      <c r="C18">
        <v>20</v>
      </c>
      <c r="D18">
        <f t="shared" si="19"/>
        <v>240</v>
      </c>
      <c r="E18" s="2">
        <v>239.95500000000001</v>
      </c>
      <c r="F18" s="6">
        <f t="shared" si="10"/>
        <v>-4.4999999999987494E-2</v>
      </c>
      <c r="G18" s="12">
        <f t="shared" si="20"/>
        <v>4.0000000000020464E-2</v>
      </c>
      <c r="H18" s="10">
        <f t="shared" si="0"/>
        <v>240.04499999999999</v>
      </c>
      <c r="K18" s="5"/>
      <c r="N18">
        <f t="shared" si="21"/>
        <v>12</v>
      </c>
      <c r="O18">
        <v>20</v>
      </c>
      <c r="P18">
        <f t="shared" si="22"/>
        <v>240</v>
      </c>
      <c r="Q18" s="2">
        <v>239.95</v>
      </c>
      <c r="R18" s="6">
        <f t="shared" si="11"/>
        <v>-5.0000000000011369E-2</v>
      </c>
      <c r="S18" s="12">
        <f t="shared" si="23"/>
        <v>3.0000000000001137E-2</v>
      </c>
      <c r="T18" s="12"/>
      <c r="U18" s="2"/>
      <c r="V18" s="9">
        <f t="shared" si="24"/>
        <v>240</v>
      </c>
      <c r="W18" s="2">
        <v>240.04499999999999</v>
      </c>
      <c r="X18" s="6">
        <f t="shared" si="12"/>
        <v>4.4999999999987494E-2</v>
      </c>
      <c r="Y18" s="12">
        <f t="shared" si="25"/>
        <v>20.044999999999987</v>
      </c>
      <c r="Z18" s="2"/>
      <c r="AA18" s="10">
        <f t="shared" si="13"/>
        <v>240.05</v>
      </c>
      <c r="AB18" s="2"/>
      <c r="AD18" s="2">
        <f t="shared" si="1"/>
        <v>0.15999999999991132</v>
      </c>
      <c r="AE18" s="2">
        <f t="shared" si="2"/>
        <v>-4.0000000000048885E-2</v>
      </c>
      <c r="AF18" s="2"/>
      <c r="AG18" s="8">
        <f t="shared" ref="AG18" si="45">AG19+1</f>
        <v>65</v>
      </c>
      <c r="AH18" s="16">
        <v>340.15499999999997</v>
      </c>
      <c r="AI18">
        <v>20</v>
      </c>
      <c r="AJ18">
        <f t="shared" si="29"/>
        <v>220</v>
      </c>
      <c r="AK18" s="4">
        <f t="shared" si="15"/>
        <v>219.79000000000008</v>
      </c>
      <c r="AL18" s="6">
        <f t="shared" si="16"/>
        <v>-0.20999999999992269</v>
      </c>
      <c r="AM18" s="12">
        <f t="shared" ref="AM18" si="46">AK19-AK18-AI18</f>
        <v>-1.0000000000047748E-2</v>
      </c>
      <c r="AN18" s="16">
        <v>340.13499999999999</v>
      </c>
      <c r="AO18" s="4">
        <f t="shared" si="7"/>
        <v>219.69000000000005</v>
      </c>
      <c r="AP18" s="6">
        <f t="shared" si="8"/>
        <v>-0.30999999999994543</v>
      </c>
      <c r="AQ18" s="12">
        <f t="shared" si="9"/>
        <v>9.9999999999909051E-3</v>
      </c>
    </row>
    <row r="19" spans="1:43" x14ac:dyDescent="0.45">
      <c r="A19">
        <f t="shared" si="18"/>
        <v>13</v>
      </c>
      <c r="C19">
        <v>20</v>
      </c>
      <c r="D19">
        <f t="shared" si="19"/>
        <v>260</v>
      </c>
      <c r="E19" s="2">
        <v>260.02499999999998</v>
      </c>
      <c r="F19" s="6">
        <f t="shared" si="10"/>
        <v>2.4999999999977263E-2</v>
      </c>
      <c r="G19" s="12">
        <f t="shared" si="20"/>
        <v>6.9999999999964757E-2</v>
      </c>
      <c r="H19" s="10">
        <f t="shared" si="0"/>
        <v>259.97500000000002</v>
      </c>
      <c r="K19" s="5"/>
      <c r="N19">
        <f t="shared" si="21"/>
        <v>13</v>
      </c>
      <c r="O19">
        <v>20</v>
      </c>
      <c r="P19">
        <f t="shared" si="22"/>
        <v>260</v>
      </c>
      <c r="Q19" s="2">
        <v>260.01499999999999</v>
      </c>
      <c r="R19" s="6">
        <f t="shared" si="11"/>
        <v>1.4999999999986358E-2</v>
      </c>
      <c r="S19" s="12">
        <f t="shared" si="23"/>
        <v>6.4999999999997726E-2</v>
      </c>
      <c r="T19" s="12"/>
      <c r="U19" s="2"/>
      <c r="V19" s="9">
        <f t="shared" si="24"/>
        <v>260</v>
      </c>
      <c r="W19" s="2">
        <v>260.125</v>
      </c>
      <c r="X19" s="6">
        <f t="shared" si="12"/>
        <v>0.125</v>
      </c>
      <c r="Y19" s="12">
        <f t="shared" si="25"/>
        <v>20.080000000000013</v>
      </c>
      <c r="Z19" s="2"/>
      <c r="AA19" s="10">
        <f t="shared" si="13"/>
        <v>259.98500000000001</v>
      </c>
      <c r="AB19" s="2"/>
      <c r="AD19" s="2">
        <f t="shared" si="1"/>
        <v>0.2349999999999568</v>
      </c>
      <c r="AE19" s="2">
        <f t="shared" si="2"/>
        <v>-3.4999999999968168E-2</v>
      </c>
      <c r="AF19" s="2"/>
      <c r="AG19" s="8">
        <f t="shared" ref="AG19" si="47">AG20+1</f>
        <v>64</v>
      </c>
      <c r="AH19" s="16">
        <v>320.16500000000002</v>
      </c>
      <c r="AI19">
        <v>20</v>
      </c>
      <c r="AJ19">
        <f t="shared" si="29"/>
        <v>240</v>
      </c>
      <c r="AK19" s="4">
        <f t="shared" si="15"/>
        <v>239.78000000000003</v>
      </c>
      <c r="AL19" s="6">
        <f t="shared" si="16"/>
        <v>-0.21999999999997044</v>
      </c>
      <c r="AM19" s="12">
        <f t="shared" ref="AM19" si="48">AK20-AK19-AI19</f>
        <v>3.0000000000029559E-2</v>
      </c>
      <c r="AN19" s="16">
        <v>320.125</v>
      </c>
      <c r="AO19" s="4">
        <f t="shared" si="7"/>
        <v>239.70000000000005</v>
      </c>
      <c r="AP19" s="6">
        <f t="shared" si="8"/>
        <v>-0.29999999999995453</v>
      </c>
      <c r="AQ19" s="12">
        <f t="shared" si="9"/>
        <v>4.0000000000020464E-2</v>
      </c>
    </row>
    <row r="20" spans="1:43" x14ac:dyDescent="0.45">
      <c r="A20">
        <f t="shared" si="18"/>
        <v>14</v>
      </c>
      <c r="C20">
        <v>20</v>
      </c>
      <c r="D20">
        <f t="shared" si="19"/>
        <v>280</v>
      </c>
      <c r="E20" s="2">
        <v>280.02499999999998</v>
      </c>
      <c r="F20" s="6">
        <f t="shared" si="10"/>
        <v>2.4999999999977263E-2</v>
      </c>
      <c r="G20" s="12">
        <f t="shared" si="20"/>
        <v>0</v>
      </c>
      <c r="H20" s="10">
        <f t="shared" si="0"/>
        <v>279.97500000000002</v>
      </c>
      <c r="K20" s="5"/>
      <c r="N20">
        <f t="shared" si="21"/>
        <v>14</v>
      </c>
      <c r="O20">
        <v>20</v>
      </c>
      <c r="P20">
        <f t="shared" si="22"/>
        <v>280</v>
      </c>
      <c r="Q20" s="2">
        <v>280.02</v>
      </c>
      <c r="R20" s="6">
        <f t="shared" si="11"/>
        <v>1.999999999998181E-2</v>
      </c>
      <c r="S20" s="12">
        <f t="shared" si="23"/>
        <v>4.9999999999954525E-3</v>
      </c>
      <c r="T20" s="12"/>
      <c r="U20" s="2"/>
      <c r="V20" s="9">
        <f t="shared" si="24"/>
        <v>280</v>
      </c>
      <c r="W20" s="2">
        <v>280.11</v>
      </c>
      <c r="X20" s="6">
        <f t="shared" si="12"/>
        <v>0.11000000000001364</v>
      </c>
      <c r="Y20" s="12">
        <f t="shared" si="25"/>
        <v>19.985000000000014</v>
      </c>
      <c r="Z20" s="2"/>
      <c r="AA20" s="10">
        <f t="shared" si="13"/>
        <v>279.98</v>
      </c>
      <c r="AB20" s="2"/>
      <c r="AD20" s="2">
        <f t="shared" si="1"/>
        <v>0.20999999999992269</v>
      </c>
      <c r="AE20" s="2">
        <f t="shared" si="2"/>
        <v>6.0000000000002274E-2</v>
      </c>
      <c r="AF20" s="2"/>
      <c r="AG20" s="8">
        <f t="shared" ref="AG20:AG80" si="49">AG21+1</f>
        <v>63</v>
      </c>
      <c r="AH20" s="16">
        <v>300.13499999999999</v>
      </c>
      <c r="AI20">
        <v>20</v>
      </c>
      <c r="AJ20">
        <f t="shared" ref="AJ20:AJ83" si="50">AJ19+AI20</f>
        <v>260</v>
      </c>
      <c r="AK20" s="4">
        <f t="shared" si="15"/>
        <v>259.81000000000006</v>
      </c>
      <c r="AL20" s="6">
        <f t="shared" si="16"/>
        <v>-0.18999999999994088</v>
      </c>
      <c r="AM20" s="12">
        <f t="shared" ref="AM20:AM80" si="51">AK21-AK20-AI20</f>
        <v>6.4999999999997726E-2</v>
      </c>
      <c r="AN20" s="16">
        <v>300.08499999999998</v>
      </c>
      <c r="AO20" s="4">
        <f t="shared" si="7"/>
        <v>259.74000000000007</v>
      </c>
      <c r="AP20" s="6">
        <f t="shared" si="8"/>
        <v>-0.25999999999993406</v>
      </c>
      <c r="AQ20" s="12">
        <f t="shared" si="9"/>
        <v>6.0000000000002274E-2</v>
      </c>
    </row>
    <row r="21" spans="1:43" x14ac:dyDescent="0.45">
      <c r="A21">
        <f t="shared" si="18"/>
        <v>15</v>
      </c>
      <c r="C21">
        <v>20</v>
      </c>
      <c r="D21">
        <f t="shared" si="19"/>
        <v>300</v>
      </c>
      <c r="E21" s="2">
        <v>299.98</v>
      </c>
      <c r="F21" s="6">
        <f t="shared" si="10"/>
        <v>-1.999999999998181E-2</v>
      </c>
      <c r="G21" s="12">
        <f t="shared" si="20"/>
        <v>-4.4999999999959073E-2</v>
      </c>
      <c r="H21" s="10">
        <f t="shared" si="0"/>
        <v>300.02</v>
      </c>
      <c r="K21" s="5"/>
      <c r="N21">
        <f t="shared" si="21"/>
        <v>15</v>
      </c>
      <c r="O21">
        <v>20</v>
      </c>
      <c r="P21">
        <f t="shared" si="22"/>
        <v>300</v>
      </c>
      <c r="Q21" s="2">
        <v>299.98</v>
      </c>
      <c r="R21" s="6">
        <f t="shared" si="11"/>
        <v>-1.999999999998181E-2</v>
      </c>
      <c r="S21" s="12">
        <f t="shared" si="23"/>
        <v>-3.999999999996362E-2</v>
      </c>
      <c r="T21" s="12"/>
      <c r="U21" s="2"/>
      <c r="V21" s="9">
        <f t="shared" si="24"/>
        <v>300</v>
      </c>
      <c r="W21" s="2">
        <v>300.08</v>
      </c>
      <c r="X21" s="6">
        <f t="shared" si="12"/>
        <v>7.9999999999984084E-2</v>
      </c>
      <c r="Y21" s="12">
        <f t="shared" si="25"/>
        <v>19.96999999999997</v>
      </c>
      <c r="Z21" s="2"/>
      <c r="AA21" s="10">
        <f t="shared" si="13"/>
        <v>300.02</v>
      </c>
      <c r="AB21" s="2"/>
      <c r="AD21" s="2">
        <f t="shared" si="1"/>
        <v>0.10499999999996135</v>
      </c>
      <c r="AE21" s="2">
        <f t="shared" si="2"/>
        <v>1.4999999999929514E-2</v>
      </c>
      <c r="AF21" s="2"/>
      <c r="AG21" s="8">
        <f t="shared" si="49"/>
        <v>62</v>
      </c>
      <c r="AH21" s="16">
        <v>280.07</v>
      </c>
      <c r="AI21">
        <v>20</v>
      </c>
      <c r="AJ21">
        <f t="shared" si="50"/>
        <v>280</v>
      </c>
      <c r="AK21" s="4">
        <f t="shared" si="15"/>
        <v>279.87500000000006</v>
      </c>
      <c r="AL21" s="6">
        <f t="shared" si="16"/>
        <v>-0.12499999999994316</v>
      </c>
      <c r="AM21" s="12">
        <f t="shared" si="51"/>
        <v>-2.5000000000034106E-2</v>
      </c>
      <c r="AN21" s="16">
        <v>280.02499999999998</v>
      </c>
      <c r="AO21" s="4">
        <f t="shared" si="7"/>
        <v>279.80000000000007</v>
      </c>
      <c r="AP21" s="6">
        <f t="shared" si="8"/>
        <v>-0.19999999999993179</v>
      </c>
      <c r="AQ21" s="12">
        <f t="shared" si="9"/>
        <v>-3.0000000000029559E-2</v>
      </c>
    </row>
    <row r="22" spans="1:43" x14ac:dyDescent="0.45">
      <c r="A22">
        <f t="shared" si="18"/>
        <v>16</v>
      </c>
      <c r="C22">
        <v>20</v>
      </c>
      <c r="D22">
        <f t="shared" si="19"/>
        <v>320</v>
      </c>
      <c r="E22" s="2">
        <v>319.95499999999998</v>
      </c>
      <c r="F22" s="6">
        <f t="shared" si="10"/>
        <v>-4.5000000000015916E-2</v>
      </c>
      <c r="G22" s="12">
        <f t="shared" si="20"/>
        <v>-2.5000000000034106E-2</v>
      </c>
      <c r="H22" s="10">
        <f t="shared" si="0"/>
        <v>320.04500000000002</v>
      </c>
      <c r="K22" s="5"/>
      <c r="N22">
        <f t="shared" si="21"/>
        <v>16</v>
      </c>
      <c r="O22">
        <v>20</v>
      </c>
      <c r="P22">
        <f t="shared" si="22"/>
        <v>320</v>
      </c>
      <c r="Q22" s="2">
        <v>319.95</v>
      </c>
      <c r="R22" s="6">
        <f t="shared" si="11"/>
        <v>-5.0000000000011369E-2</v>
      </c>
      <c r="S22" s="12">
        <f t="shared" si="23"/>
        <v>-3.0000000000029559E-2</v>
      </c>
      <c r="T22" s="12"/>
      <c r="U22" s="2"/>
      <c r="V22" s="9">
        <f t="shared" si="24"/>
        <v>320</v>
      </c>
      <c r="W22" s="2">
        <v>320.03500000000003</v>
      </c>
      <c r="X22" s="6">
        <f t="shared" si="12"/>
        <v>3.5000000000025011E-2</v>
      </c>
      <c r="Y22" s="12">
        <f t="shared" si="25"/>
        <v>19.955000000000041</v>
      </c>
      <c r="Z22" s="2"/>
      <c r="AA22" s="10">
        <f t="shared" si="13"/>
        <v>320.05</v>
      </c>
      <c r="AB22" s="2"/>
      <c r="AD22" s="2">
        <f t="shared" si="1"/>
        <v>9.9999999999965894E-2</v>
      </c>
      <c r="AE22" s="2">
        <f t="shared" si="2"/>
        <v>5.6843418860808015E-14</v>
      </c>
      <c r="AF22" s="2"/>
      <c r="AG22" s="8">
        <f t="shared" si="49"/>
        <v>61</v>
      </c>
      <c r="AH22" s="16">
        <v>260.09500000000003</v>
      </c>
      <c r="AI22">
        <v>20</v>
      </c>
      <c r="AJ22">
        <f t="shared" si="50"/>
        <v>300</v>
      </c>
      <c r="AK22" s="4">
        <f t="shared" si="15"/>
        <v>299.85000000000002</v>
      </c>
      <c r="AL22" s="6">
        <f t="shared" si="16"/>
        <v>-0.14999999999997726</v>
      </c>
      <c r="AM22" s="12">
        <f t="shared" si="51"/>
        <v>-2.9999999999972715E-2</v>
      </c>
      <c r="AN22" s="16">
        <v>260.05500000000001</v>
      </c>
      <c r="AO22" s="4">
        <f t="shared" si="7"/>
        <v>299.77000000000004</v>
      </c>
      <c r="AP22" s="6">
        <f t="shared" si="8"/>
        <v>-0.22999999999996135</v>
      </c>
      <c r="AQ22" s="12">
        <f t="shared" si="9"/>
        <v>-1.999999999998181E-2</v>
      </c>
    </row>
    <row r="23" spans="1:43" x14ac:dyDescent="0.45">
      <c r="A23">
        <f t="shared" si="18"/>
        <v>17</v>
      </c>
      <c r="C23">
        <v>20</v>
      </c>
      <c r="D23">
        <f t="shared" si="19"/>
        <v>340</v>
      </c>
      <c r="E23" s="2">
        <v>340.005</v>
      </c>
      <c r="F23" s="6">
        <f t="shared" si="10"/>
        <v>4.9999999999954525E-3</v>
      </c>
      <c r="G23" s="12">
        <f t="shared" si="20"/>
        <v>5.0000000000011369E-2</v>
      </c>
      <c r="H23" s="10">
        <f t="shared" si="0"/>
        <v>339.995</v>
      </c>
      <c r="K23" s="5"/>
      <c r="N23">
        <f t="shared" si="21"/>
        <v>17</v>
      </c>
      <c r="O23">
        <v>20</v>
      </c>
      <c r="P23">
        <f t="shared" si="22"/>
        <v>340</v>
      </c>
      <c r="Q23" s="2">
        <v>340.005</v>
      </c>
      <c r="R23" s="6">
        <f t="shared" si="11"/>
        <v>4.9999999999954525E-3</v>
      </c>
      <c r="S23" s="12">
        <f t="shared" si="23"/>
        <v>5.5000000000006821E-2</v>
      </c>
      <c r="T23" s="12"/>
      <c r="U23" s="2"/>
      <c r="V23" s="9">
        <f t="shared" si="24"/>
        <v>340</v>
      </c>
      <c r="W23" s="2">
        <v>340.08499999999998</v>
      </c>
      <c r="X23" s="6">
        <f t="shared" si="12"/>
        <v>8.4999999999979536E-2</v>
      </c>
      <c r="Y23" s="12">
        <f t="shared" si="25"/>
        <v>20.049999999999955</v>
      </c>
      <c r="Z23" s="2"/>
      <c r="AA23" s="10">
        <f t="shared" si="13"/>
        <v>339.995</v>
      </c>
      <c r="AB23" s="2"/>
      <c r="AD23" s="2">
        <f t="shared" si="1"/>
        <v>0.18499999999994543</v>
      </c>
      <c r="AE23" s="2">
        <f t="shared" si="2"/>
        <v>-2.5000000000034106E-2</v>
      </c>
      <c r="AF23" s="2"/>
      <c r="AG23" s="8">
        <f t="shared" si="49"/>
        <v>60</v>
      </c>
      <c r="AH23" s="16">
        <v>240.125</v>
      </c>
      <c r="AI23">
        <v>20</v>
      </c>
      <c r="AJ23">
        <f t="shared" si="50"/>
        <v>320</v>
      </c>
      <c r="AK23" s="4">
        <f t="shared" si="15"/>
        <v>319.82000000000005</v>
      </c>
      <c r="AL23" s="6">
        <f t="shared" si="16"/>
        <v>-0.17999999999994998</v>
      </c>
      <c r="AM23" s="12">
        <f t="shared" si="51"/>
        <v>2.9999999999972715E-2</v>
      </c>
      <c r="AN23" s="16">
        <v>240.07499999999999</v>
      </c>
      <c r="AO23" s="4">
        <f t="shared" si="7"/>
        <v>319.75000000000006</v>
      </c>
      <c r="AP23" s="6">
        <f t="shared" si="8"/>
        <v>-0.24999999999994316</v>
      </c>
      <c r="AQ23" s="12">
        <f t="shared" si="9"/>
        <v>3.5000000000025011E-2</v>
      </c>
    </row>
    <row r="24" spans="1:43" x14ac:dyDescent="0.45">
      <c r="A24">
        <f t="shared" si="18"/>
        <v>18</v>
      </c>
      <c r="C24">
        <v>20</v>
      </c>
      <c r="D24">
        <f t="shared" si="19"/>
        <v>360</v>
      </c>
      <c r="E24" s="2">
        <v>360.065</v>
      </c>
      <c r="F24" s="6">
        <f t="shared" si="10"/>
        <v>6.4999999999997726E-2</v>
      </c>
      <c r="G24" s="12">
        <f t="shared" si="20"/>
        <v>6.0000000000002274E-2</v>
      </c>
      <c r="H24" s="10">
        <f t="shared" si="0"/>
        <v>359.935</v>
      </c>
      <c r="K24" s="5"/>
      <c r="N24">
        <f t="shared" si="21"/>
        <v>18</v>
      </c>
      <c r="O24">
        <v>20</v>
      </c>
      <c r="P24">
        <f t="shared" si="22"/>
        <v>360</v>
      </c>
      <c r="Q24" s="2">
        <v>360.07</v>
      </c>
      <c r="R24" s="6">
        <f t="shared" si="11"/>
        <v>6.9999999999993179E-2</v>
      </c>
      <c r="S24" s="12">
        <f t="shared" si="23"/>
        <v>6.4999999999997726E-2</v>
      </c>
      <c r="T24" s="12"/>
      <c r="U24" s="2"/>
      <c r="V24" s="9">
        <f t="shared" si="24"/>
        <v>360</v>
      </c>
      <c r="W24" s="2">
        <v>360.14499999999998</v>
      </c>
      <c r="X24" s="6">
        <f t="shared" si="12"/>
        <v>0.14499999999998181</v>
      </c>
      <c r="Y24" s="12">
        <f t="shared" si="25"/>
        <v>20.060000000000002</v>
      </c>
      <c r="Z24" s="2"/>
      <c r="AA24" s="10">
        <f t="shared" si="13"/>
        <v>359.93</v>
      </c>
      <c r="AB24" s="2"/>
      <c r="AD24" s="2">
        <f t="shared" si="1"/>
        <v>0.21999999999997044</v>
      </c>
      <c r="AE24" s="2">
        <f t="shared" si="2"/>
        <v>-2.4999999999977263E-2</v>
      </c>
      <c r="AF24" s="2"/>
      <c r="AG24" s="8">
        <f t="shared" si="49"/>
        <v>59</v>
      </c>
      <c r="AH24" s="16">
        <v>220.095</v>
      </c>
      <c r="AI24">
        <v>20</v>
      </c>
      <c r="AJ24">
        <f t="shared" si="50"/>
        <v>340</v>
      </c>
      <c r="AK24" s="4">
        <f t="shared" si="15"/>
        <v>339.85</v>
      </c>
      <c r="AL24" s="6">
        <f t="shared" si="16"/>
        <v>-0.14999999999997726</v>
      </c>
      <c r="AM24" s="12">
        <f t="shared" si="51"/>
        <v>4.0000000000020464E-2</v>
      </c>
      <c r="AN24" s="16">
        <v>220.04</v>
      </c>
      <c r="AO24" s="4">
        <f t="shared" si="7"/>
        <v>339.78500000000008</v>
      </c>
      <c r="AP24" s="6">
        <f t="shared" si="8"/>
        <v>-0.21499999999991815</v>
      </c>
      <c r="AQ24" s="12">
        <f t="shared" si="9"/>
        <v>5.4999999999949978E-2</v>
      </c>
    </row>
    <row r="25" spans="1:43" x14ac:dyDescent="0.45">
      <c r="A25">
        <f t="shared" si="18"/>
        <v>19</v>
      </c>
      <c r="C25">
        <v>20</v>
      </c>
      <c r="D25">
        <f t="shared" si="19"/>
        <v>380</v>
      </c>
      <c r="E25" s="2">
        <v>380.12</v>
      </c>
      <c r="F25" s="6">
        <f t="shared" si="10"/>
        <v>0.12000000000000455</v>
      </c>
      <c r="G25" s="12">
        <f t="shared" si="20"/>
        <v>5.5000000000006821E-2</v>
      </c>
      <c r="H25" s="10">
        <f t="shared" si="0"/>
        <v>379.88</v>
      </c>
      <c r="K25" s="5"/>
      <c r="N25">
        <f t="shared" si="21"/>
        <v>19</v>
      </c>
      <c r="O25">
        <v>20</v>
      </c>
      <c r="P25">
        <f t="shared" si="22"/>
        <v>380</v>
      </c>
      <c r="Q25" s="2">
        <v>380.13</v>
      </c>
      <c r="R25" s="6">
        <f t="shared" si="11"/>
        <v>0.12999999999999545</v>
      </c>
      <c r="S25" s="12">
        <f t="shared" si="23"/>
        <v>6.0000000000002274E-2</v>
      </c>
      <c r="T25" s="12"/>
      <c r="U25" s="2"/>
      <c r="V25" s="9">
        <f t="shared" si="24"/>
        <v>380</v>
      </c>
      <c r="W25" s="2">
        <v>380.21</v>
      </c>
      <c r="X25" s="6">
        <f t="shared" si="12"/>
        <v>0.20999999999997954</v>
      </c>
      <c r="Y25" s="12">
        <f t="shared" si="25"/>
        <v>20.064999999999998</v>
      </c>
      <c r="Z25" s="2"/>
      <c r="AA25" s="10">
        <f t="shared" si="13"/>
        <v>379.87</v>
      </c>
      <c r="AB25" s="2"/>
      <c r="AD25" s="2">
        <f t="shared" si="1"/>
        <v>0.23999999999995225</v>
      </c>
      <c r="AE25" s="2">
        <f t="shared" si="2"/>
        <v>0</v>
      </c>
      <c r="AF25" s="2"/>
      <c r="AG25" s="8">
        <f t="shared" si="49"/>
        <v>58</v>
      </c>
      <c r="AH25" s="16">
        <v>200.05500000000001</v>
      </c>
      <c r="AI25">
        <v>20</v>
      </c>
      <c r="AJ25">
        <f t="shared" si="50"/>
        <v>360</v>
      </c>
      <c r="AK25" s="4">
        <f t="shared" si="15"/>
        <v>359.89000000000004</v>
      </c>
      <c r="AL25" s="6">
        <f t="shared" si="16"/>
        <v>-0.1099999999999568</v>
      </c>
      <c r="AM25" s="12">
        <f t="shared" si="51"/>
        <v>6.0000000000002274E-2</v>
      </c>
      <c r="AN25" s="16">
        <v>199.98500000000001</v>
      </c>
      <c r="AO25" s="4">
        <f t="shared" si="7"/>
        <v>359.84000000000003</v>
      </c>
      <c r="AP25" s="6">
        <f t="shared" si="8"/>
        <v>-0.15999999999996817</v>
      </c>
      <c r="AQ25" s="12">
        <f t="shared" si="9"/>
        <v>7.5000000000045475E-2</v>
      </c>
    </row>
    <row r="26" spans="1:43" x14ac:dyDescent="0.45">
      <c r="A26">
        <f t="shared" si="18"/>
        <v>20</v>
      </c>
      <c r="C26">
        <v>20</v>
      </c>
      <c r="D26">
        <f t="shared" si="19"/>
        <v>400</v>
      </c>
      <c r="E26" s="2">
        <v>400.21499999999997</v>
      </c>
      <c r="F26" s="6">
        <f t="shared" si="10"/>
        <v>0.21499999999997499</v>
      </c>
      <c r="G26" s="12">
        <f t="shared" si="20"/>
        <v>9.4999999999970441E-2</v>
      </c>
      <c r="H26" s="10">
        <f t="shared" si="0"/>
        <v>399.78500000000003</v>
      </c>
      <c r="K26" s="5"/>
      <c r="N26">
        <f t="shared" si="21"/>
        <v>20</v>
      </c>
      <c r="O26">
        <v>20</v>
      </c>
      <c r="P26">
        <f t="shared" si="22"/>
        <v>400</v>
      </c>
      <c r="Q26" s="2">
        <v>400.22</v>
      </c>
      <c r="R26" s="6">
        <f t="shared" si="11"/>
        <v>0.22000000000002728</v>
      </c>
      <c r="S26" s="12">
        <f t="shared" si="23"/>
        <v>9.0000000000031832E-2</v>
      </c>
      <c r="T26" s="12"/>
      <c r="U26" s="2"/>
      <c r="V26" s="9">
        <f t="shared" si="24"/>
        <v>400</v>
      </c>
      <c r="W26" s="2">
        <v>400.31</v>
      </c>
      <c r="X26" s="6">
        <f t="shared" si="12"/>
        <v>0.31000000000000227</v>
      </c>
      <c r="Y26" s="12">
        <f t="shared" si="25"/>
        <v>20.100000000000023</v>
      </c>
      <c r="Z26" s="2"/>
      <c r="AA26" s="10">
        <f t="shared" si="13"/>
        <v>399.78</v>
      </c>
      <c r="AB26" s="2"/>
      <c r="AD26" s="2">
        <f t="shared" si="1"/>
        <v>0.26999999999998181</v>
      </c>
      <c r="AE26" s="2">
        <f t="shared" si="2"/>
        <v>-4.0000000000020464E-2</v>
      </c>
      <c r="AF26" s="2"/>
      <c r="AG26" s="8">
        <f t="shared" si="49"/>
        <v>57</v>
      </c>
      <c r="AH26" s="16">
        <v>179.995</v>
      </c>
      <c r="AI26">
        <v>20</v>
      </c>
      <c r="AJ26">
        <f t="shared" si="50"/>
        <v>380</v>
      </c>
      <c r="AK26" s="4">
        <f t="shared" si="15"/>
        <v>379.95000000000005</v>
      </c>
      <c r="AL26" s="6">
        <f t="shared" si="16"/>
        <v>-4.9999999999954525E-2</v>
      </c>
      <c r="AM26" s="12">
        <f t="shared" si="51"/>
        <v>5.0000000000011369E-2</v>
      </c>
      <c r="AN26" s="16">
        <v>179.91</v>
      </c>
      <c r="AO26" s="4">
        <f t="shared" si="7"/>
        <v>379.91500000000008</v>
      </c>
      <c r="AP26" s="6">
        <f t="shared" si="8"/>
        <v>-8.4999999999922693E-2</v>
      </c>
      <c r="AQ26" s="12">
        <f t="shared" si="9"/>
        <v>3.999999999996362E-2</v>
      </c>
    </row>
    <row r="27" spans="1:43" x14ac:dyDescent="0.45">
      <c r="A27">
        <f t="shared" si="18"/>
        <v>21</v>
      </c>
      <c r="C27">
        <v>20</v>
      </c>
      <c r="D27">
        <f t="shared" si="19"/>
        <v>420</v>
      </c>
      <c r="E27" s="2">
        <v>420.25</v>
      </c>
      <c r="F27" s="6">
        <f t="shared" si="10"/>
        <v>0.25</v>
      </c>
      <c r="G27" s="12">
        <f t="shared" si="20"/>
        <v>3.5000000000025011E-2</v>
      </c>
      <c r="H27" s="10">
        <f t="shared" si="0"/>
        <v>419.75</v>
      </c>
      <c r="K27" s="5"/>
      <c r="N27">
        <f t="shared" si="21"/>
        <v>21</v>
      </c>
      <c r="O27">
        <v>20</v>
      </c>
      <c r="P27">
        <f t="shared" si="22"/>
        <v>420</v>
      </c>
      <c r="Q27" s="2">
        <v>420.245</v>
      </c>
      <c r="R27" s="6">
        <f t="shared" si="11"/>
        <v>0.24500000000000455</v>
      </c>
      <c r="S27" s="12">
        <f t="shared" si="23"/>
        <v>2.4999999999977263E-2</v>
      </c>
      <c r="T27" s="12"/>
      <c r="U27" s="2"/>
      <c r="V27" s="9">
        <f t="shared" si="24"/>
        <v>420</v>
      </c>
      <c r="W27" s="2">
        <v>420.33</v>
      </c>
      <c r="X27" s="6">
        <f t="shared" si="12"/>
        <v>0.32999999999998408</v>
      </c>
      <c r="Y27" s="12">
        <f t="shared" si="25"/>
        <v>20.019999999999982</v>
      </c>
      <c r="Z27" s="2"/>
      <c r="AA27" s="10">
        <f t="shared" si="13"/>
        <v>419.755</v>
      </c>
      <c r="AB27" s="2"/>
      <c r="AD27" s="2">
        <f t="shared" si="1"/>
        <v>0.24500000000000455</v>
      </c>
      <c r="AE27" s="2">
        <f t="shared" si="2"/>
        <v>6.4999999999997726E-2</v>
      </c>
      <c r="AF27" s="2"/>
      <c r="AG27" s="8">
        <f t="shared" si="49"/>
        <v>56</v>
      </c>
      <c r="AH27" s="16">
        <v>159.94499999999999</v>
      </c>
      <c r="AI27">
        <v>20</v>
      </c>
      <c r="AJ27">
        <f t="shared" si="50"/>
        <v>400</v>
      </c>
      <c r="AK27" s="4">
        <f t="shared" si="15"/>
        <v>400.00000000000006</v>
      </c>
      <c r="AL27" s="6">
        <f t="shared" si="16"/>
        <v>0</v>
      </c>
      <c r="AM27" s="12">
        <f t="shared" si="51"/>
        <v>8.9999999999974989E-2</v>
      </c>
      <c r="AN27" s="16">
        <v>159.87</v>
      </c>
      <c r="AO27" s="4">
        <f t="shared" si="7"/>
        <v>399.95500000000004</v>
      </c>
      <c r="AP27" s="6">
        <f t="shared" si="8"/>
        <v>-4.4999999999959073E-2</v>
      </c>
      <c r="AQ27" s="12">
        <f t="shared" si="9"/>
        <v>9.5000000000027285E-2</v>
      </c>
    </row>
    <row r="28" spans="1:43" x14ac:dyDescent="0.45">
      <c r="A28">
        <f t="shared" si="18"/>
        <v>22</v>
      </c>
      <c r="C28">
        <v>20</v>
      </c>
      <c r="D28">
        <f t="shared" si="19"/>
        <v>440</v>
      </c>
      <c r="E28" s="2">
        <v>440.22</v>
      </c>
      <c r="F28" s="6">
        <f t="shared" si="10"/>
        <v>0.22000000000002728</v>
      </c>
      <c r="G28" s="12">
        <f t="shared" si="20"/>
        <v>-2.9999999999972715E-2</v>
      </c>
      <c r="H28" s="10">
        <f t="shared" si="0"/>
        <v>439.78</v>
      </c>
      <c r="K28" s="5"/>
      <c r="N28">
        <f t="shared" si="21"/>
        <v>22</v>
      </c>
      <c r="O28">
        <v>20</v>
      </c>
      <c r="P28">
        <f t="shared" si="22"/>
        <v>440</v>
      </c>
      <c r="Q28" s="2">
        <v>440.21</v>
      </c>
      <c r="R28" s="6">
        <f t="shared" si="11"/>
        <v>0.20999999999997954</v>
      </c>
      <c r="S28" s="12">
        <f t="shared" si="23"/>
        <v>-3.5000000000025011E-2</v>
      </c>
      <c r="T28" s="12"/>
      <c r="U28" s="2"/>
      <c r="V28" s="9">
        <f t="shared" si="24"/>
        <v>440</v>
      </c>
      <c r="W28" s="2">
        <v>440.31</v>
      </c>
      <c r="X28" s="6">
        <f t="shared" si="12"/>
        <v>0.31000000000000227</v>
      </c>
      <c r="Y28" s="12">
        <f t="shared" si="25"/>
        <v>19.980000000000018</v>
      </c>
      <c r="Z28" s="2"/>
      <c r="AA28" s="10">
        <f t="shared" si="13"/>
        <v>439.79</v>
      </c>
      <c r="AB28" s="2"/>
      <c r="AD28" s="2">
        <f t="shared" si="1"/>
        <v>0.1199999999999477</v>
      </c>
      <c r="AE28" s="2">
        <f t="shared" si="2"/>
        <v>3.0000000000029559E-2</v>
      </c>
      <c r="AF28" s="2"/>
      <c r="AG28" s="8">
        <f t="shared" si="49"/>
        <v>55</v>
      </c>
      <c r="AH28" s="16">
        <v>139.85499999999999</v>
      </c>
      <c r="AI28">
        <v>20</v>
      </c>
      <c r="AJ28">
        <f t="shared" si="50"/>
        <v>420</v>
      </c>
      <c r="AK28" s="4">
        <f t="shared" si="15"/>
        <v>420.09000000000003</v>
      </c>
      <c r="AL28" s="6">
        <f t="shared" si="16"/>
        <v>9.0000000000031832E-2</v>
      </c>
      <c r="AM28" s="12">
        <f t="shared" si="51"/>
        <v>-4.9999999999954525E-3</v>
      </c>
      <c r="AN28" s="16">
        <v>139.77500000000001</v>
      </c>
      <c r="AO28" s="4">
        <f t="shared" si="7"/>
        <v>420.05000000000007</v>
      </c>
      <c r="AP28" s="6">
        <f t="shared" si="8"/>
        <v>5.0000000000068212E-2</v>
      </c>
      <c r="AQ28" s="12">
        <f t="shared" si="9"/>
        <v>-9.9999999999909051E-3</v>
      </c>
    </row>
    <row r="29" spans="1:43" x14ac:dyDescent="0.45">
      <c r="A29">
        <f t="shared" si="18"/>
        <v>23</v>
      </c>
      <c r="C29">
        <v>20</v>
      </c>
      <c r="D29">
        <f t="shared" si="19"/>
        <v>460</v>
      </c>
      <c r="E29" s="2">
        <v>460.16</v>
      </c>
      <c r="F29" s="6">
        <f t="shared" si="10"/>
        <v>0.16000000000002501</v>
      </c>
      <c r="G29" s="12">
        <f t="shared" si="20"/>
        <v>-6.0000000000002274E-2</v>
      </c>
      <c r="H29" s="10">
        <f t="shared" si="0"/>
        <v>459.84</v>
      </c>
      <c r="K29" s="5"/>
      <c r="N29">
        <f t="shared" si="21"/>
        <v>23</v>
      </c>
      <c r="O29">
        <v>20</v>
      </c>
      <c r="P29">
        <f t="shared" si="22"/>
        <v>460</v>
      </c>
      <c r="Q29" s="2">
        <v>460.14</v>
      </c>
      <c r="R29" s="6">
        <f t="shared" si="11"/>
        <v>0.13999999999998636</v>
      </c>
      <c r="S29" s="12">
        <f t="shared" si="23"/>
        <v>-6.9999999999993179E-2</v>
      </c>
      <c r="T29" s="12"/>
      <c r="U29" s="2"/>
      <c r="V29" s="9">
        <f t="shared" si="24"/>
        <v>460</v>
      </c>
      <c r="W29" s="2">
        <v>460.24</v>
      </c>
      <c r="X29" s="6">
        <f t="shared" si="12"/>
        <v>0.24000000000000909</v>
      </c>
      <c r="Y29" s="12">
        <f t="shared" si="25"/>
        <v>19.930000000000007</v>
      </c>
      <c r="Z29" s="2"/>
      <c r="AA29" s="10">
        <f t="shared" si="13"/>
        <v>459.86</v>
      </c>
      <c r="AB29" s="2"/>
      <c r="AD29" s="2">
        <f t="shared" si="1"/>
        <v>5.4999999999949978E-2</v>
      </c>
      <c r="AE29" s="2">
        <f t="shared" si="2"/>
        <v>-4.9999999999954525E-3</v>
      </c>
      <c r="AF29" s="2"/>
      <c r="AG29" s="8">
        <f t="shared" si="49"/>
        <v>54</v>
      </c>
      <c r="AH29" s="16">
        <v>119.86</v>
      </c>
      <c r="AI29">
        <v>20</v>
      </c>
      <c r="AJ29">
        <f t="shared" si="50"/>
        <v>440</v>
      </c>
      <c r="AK29" s="4">
        <f t="shared" si="15"/>
        <v>440.08500000000004</v>
      </c>
      <c r="AL29" s="6">
        <f t="shared" si="16"/>
        <v>8.500000000003638E-2</v>
      </c>
      <c r="AM29" s="12">
        <f t="shared" si="51"/>
        <v>-7.4999999999988631E-2</v>
      </c>
      <c r="AN29" s="16">
        <v>119.785</v>
      </c>
      <c r="AO29" s="4">
        <f t="shared" si="7"/>
        <v>440.04000000000008</v>
      </c>
      <c r="AP29" s="6">
        <f t="shared" si="8"/>
        <v>4.0000000000077307E-2</v>
      </c>
      <c r="AQ29" s="12">
        <f t="shared" si="9"/>
        <v>-9.0000000000031832E-2</v>
      </c>
    </row>
    <row r="30" spans="1:43" x14ac:dyDescent="0.45">
      <c r="A30">
        <f t="shared" si="18"/>
        <v>24</v>
      </c>
      <c r="C30">
        <v>20</v>
      </c>
      <c r="D30">
        <f t="shared" si="19"/>
        <v>480</v>
      </c>
      <c r="E30" s="2">
        <v>480.13499999999999</v>
      </c>
      <c r="F30" s="6">
        <f t="shared" si="10"/>
        <v>0.13499999999999091</v>
      </c>
      <c r="G30" s="12">
        <f t="shared" si="20"/>
        <v>-2.5000000000034106E-2</v>
      </c>
      <c r="H30" s="10">
        <f t="shared" si="0"/>
        <v>479.86500000000001</v>
      </c>
      <c r="K30" s="5"/>
      <c r="N30">
        <f t="shared" si="21"/>
        <v>24</v>
      </c>
      <c r="O30">
        <v>20</v>
      </c>
      <c r="P30">
        <f t="shared" si="22"/>
        <v>480</v>
      </c>
      <c r="Q30" s="2">
        <v>480.10500000000002</v>
      </c>
      <c r="R30" s="6">
        <f t="shared" si="11"/>
        <v>0.10500000000001819</v>
      </c>
      <c r="S30" s="12">
        <f t="shared" si="23"/>
        <v>-3.4999999999968168E-2</v>
      </c>
      <c r="T30" s="12"/>
      <c r="U30" s="2"/>
      <c r="V30" s="9">
        <f t="shared" si="24"/>
        <v>480</v>
      </c>
      <c r="W30" s="2">
        <v>480.20499999999998</v>
      </c>
      <c r="X30" s="6">
        <f t="shared" si="12"/>
        <v>0.20499999999998408</v>
      </c>
      <c r="Y30" s="12">
        <f t="shared" si="25"/>
        <v>19.964999999999975</v>
      </c>
      <c r="Z30" s="2"/>
      <c r="AA30" s="10">
        <f t="shared" si="13"/>
        <v>479.89499999999998</v>
      </c>
      <c r="AB30" s="2"/>
      <c r="AD30" s="2">
        <f t="shared" si="1"/>
        <v>9.4999999999970441E-2</v>
      </c>
      <c r="AE30" s="2">
        <f t="shared" si="2"/>
        <v>-1.0000000000047748E-2</v>
      </c>
      <c r="AF30" s="2"/>
      <c r="AG30" s="8">
        <f t="shared" si="49"/>
        <v>53</v>
      </c>
      <c r="AH30" s="16">
        <v>99.935000000000002</v>
      </c>
      <c r="AI30">
        <v>20</v>
      </c>
      <c r="AJ30">
        <f t="shared" si="50"/>
        <v>460</v>
      </c>
      <c r="AK30" s="4">
        <f t="shared" si="15"/>
        <v>460.01000000000005</v>
      </c>
      <c r="AL30" s="6">
        <f t="shared" si="16"/>
        <v>1.0000000000047748E-2</v>
      </c>
      <c r="AM30" s="12">
        <f t="shared" si="51"/>
        <v>-4.5000000000015916E-2</v>
      </c>
      <c r="AN30" s="16">
        <v>99.875</v>
      </c>
      <c r="AO30" s="4">
        <f t="shared" si="7"/>
        <v>459.95000000000005</v>
      </c>
      <c r="AP30" s="6">
        <f t="shared" si="8"/>
        <v>-4.9999999999954525E-2</v>
      </c>
      <c r="AQ30" s="12">
        <f t="shared" si="9"/>
        <v>-6.0000000000002274E-2</v>
      </c>
    </row>
    <row r="31" spans="1:43" x14ac:dyDescent="0.45">
      <c r="A31">
        <f t="shared" si="18"/>
        <v>25</v>
      </c>
      <c r="C31">
        <v>20</v>
      </c>
      <c r="D31">
        <f t="shared" si="19"/>
        <v>500</v>
      </c>
      <c r="E31" s="2">
        <v>500.09</v>
      </c>
      <c r="F31" s="6">
        <f t="shared" si="10"/>
        <v>8.9999999999974989E-2</v>
      </c>
      <c r="G31" s="12">
        <f t="shared" si="20"/>
        <v>-4.5000000000015916E-2</v>
      </c>
      <c r="H31" s="10">
        <f t="shared" si="0"/>
        <v>499.91</v>
      </c>
      <c r="K31" s="5"/>
      <c r="N31">
        <f t="shared" si="21"/>
        <v>25</v>
      </c>
      <c r="O31">
        <v>20</v>
      </c>
      <c r="P31">
        <f t="shared" si="22"/>
        <v>500</v>
      </c>
      <c r="Q31" s="2">
        <v>500.05500000000001</v>
      </c>
      <c r="R31" s="6">
        <f t="shared" si="11"/>
        <v>5.5000000000006821E-2</v>
      </c>
      <c r="S31" s="12">
        <f t="shared" si="23"/>
        <v>-5.0000000000011369E-2</v>
      </c>
      <c r="T31" s="12"/>
      <c r="U31" s="2"/>
      <c r="V31" s="9">
        <f t="shared" si="24"/>
        <v>500</v>
      </c>
      <c r="W31" s="2">
        <v>500.16</v>
      </c>
      <c r="X31" s="6">
        <f t="shared" si="12"/>
        <v>0.16000000000002501</v>
      </c>
      <c r="Y31" s="12">
        <f t="shared" si="25"/>
        <v>19.955000000000041</v>
      </c>
      <c r="Z31" s="2"/>
      <c r="AA31" s="10">
        <f t="shared" si="13"/>
        <v>499.94499999999999</v>
      </c>
      <c r="AB31" s="2"/>
      <c r="AD31" s="2">
        <f t="shared" si="1"/>
        <v>8.9999999999974989E-2</v>
      </c>
      <c r="AE31" s="2">
        <f t="shared" si="2"/>
        <v>2.0000000000038654E-2</v>
      </c>
      <c r="AF31" s="2"/>
      <c r="AG31" s="8">
        <f t="shared" si="49"/>
        <v>52</v>
      </c>
      <c r="AH31" s="16">
        <v>79.98</v>
      </c>
      <c r="AI31">
        <v>20</v>
      </c>
      <c r="AJ31">
        <f t="shared" si="50"/>
        <v>480</v>
      </c>
      <c r="AK31" s="4">
        <f t="shared" si="15"/>
        <v>479.96500000000003</v>
      </c>
      <c r="AL31" s="6">
        <f t="shared" si="16"/>
        <v>-3.4999999999968168E-2</v>
      </c>
      <c r="AM31" s="12">
        <f t="shared" si="51"/>
        <v>-2.9999999999972715E-2</v>
      </c>
      <c r="AN31" s="16">
        <v>79.935000000000002</v>
      </c>
      <c r="AO31" s="4">
        <f t="shared" si="7"/>
        <v>479.89000000000004</v>
      </c>
      <c r="AP31" s="6">
        <f t="shared" si="8"/>
        <v>-0.1099999999999568</v>
      </c>
      <c r="AQ31" s="12">
        <f t="shared" si="9"/>
        <v>-4.0000000000020464E-2</v>
      </c>
    </row>
    <row r="32" spans="1:43" x14ac:dyDescent="0.45">
      <c r="A32">
        <f t="shared" si="18"/>
        <v>26</v>
      </c>
      <c r="C32">
        <v>20</v>
      </c>
      <c r="D32">
        <f t="shared" si="19"/>
        <v>520</v>
      </c>
      <c r="E32" s="2">
        <v>520.07000000000005</v>
      </c>
      <c r="F32" s="6">
        <f t="shared" si="10"/>
        <v>7.0000000000050022E-2</v>
      </c>
      <c r="G32" s="12">
        <f t="shared" si="20"/>
        <v>-1.9999999999924967E-2</v>
      </c>
      <c r="H32" s="10">
        <f t="shared" si="0"/>
        <v>519.92999999999995</v>
      </c>
      <c r="K32" s="5"/>
      <c r="N32">
        <f t="shared" si="21"/>
        <v>26</v>
      </c>
      <c r="O32">
        <v>20</v>
      </c>
      <c r="P32">
        <f t="shared" si="22"/>
        <v>520</v>
      </c>
      <c r="Q32" s="2">
        <v>520.03499999999997</v>
      </c>
      <c r="R32" s="6">
        <f t="shared" si="11"/>
        <v>3.4999999999968168E-2</v>
      </c>
      <c r="S32" s="12">
        <f t="shared" si="23"/>
        <v>-2.0000000000038654E-2</v>
      </c>
      <c r="T32" s="12"/>
      <c r="U32" s="2"/>
      <c r="V32" s="9">
        <f t="shared" si="24"/>
        <v>520</v>
      </c>
      <c r="W32" s="2">
        <v>520.13</v>
      </c>
      <c r="X32" s="6">
        <f t="shared" si="12"/>
        <v>0.12999999999999545</v>
      </c>
      <c r="Y32" s="12">
        <f t="shared" si="25"/>
        <v>19.96999999999997</v>
      </c>
      <c r="Z32" s="2"/>
      <c r="AA32" s="10">
        <f t="shared" si="13"/>
        <v>519.96500000000003</v>
      </c>
      <c r="AB32" s="2"/>
      <c r="AD32" s="2">
        <f t="shared" si="1"/>
        <v>9.9999999999909051E-2</v>
      </c>
      <c r="AE32" s="2">
        <f t="shared" si="2"/>
        <v>4.0000000000020464E-2</v>
      </c>
      <c r="AF32" s="2"/>
      <c r="AG32" s="8">
        <f t="shared" si="49"/>
        <v>51</v>
      </c>
      <c r="AH32" s="16">
        <v>60.01</v>
      </c>
      <c r="AI32">
        <v>20</v>
      </c>
      <c r="AJ32">
        <f t="shared" si="50"/>
        <v>500</v>
      </c>
      <c r="AK32" s="4">
        <f t="shared" si="15"/>
        <v>499.93500000000006</v>
      </c>
      <c r="AL32" s="6">
        <f t="shared" si="16"/>
        <v>-6.4999999999940883E-2</v>
      </c>
      <c r="AM32" s="12">
        <f t="shared" si="51"/>
        <v>1.999999999998181E-2</v>
      </c>
      <c r="AN32" s="16">
        <v>59.975000000000001</v>
      </c>
      <c r="AO32" s="4">
        <f t="shared" si="7"/>
        <v>499.85</v>
      </c>
      <c r="AP32" s="6">
        <f t="shared" si="8"/>
        <v>-0.14999999999997726</v>
      </c>
      <c r="AQ32" s="12">
        <f t="shared" si="9"/>
        <v>4.9999999999954525E-3</v>
      </c>
    </row>
    <row r="33" spans="1:44" x14ac:dyDescent="0.45">
      <c r="A33">
        <f t="shared" si="18"/>
        <v>27</v>
      </c>
      <c r="C33">
        <v>20</v>
      </c>
      <c r="D33">
        <f t="shared" si="19"/>
        <v>540</v>
      </c>
      <c r="E33" s="2">
        <v>540.1</v>
      </c>
      <c r="F33" s="6">
        <f t="shared" si="10"/>
        <v>0.10000000000002274</v>
      </c>
      <c r="G33" s="12">
        <f t="shared" si="20"/>
        <v>2.9999999999972715E-2</v>
      </c>
      <c r="H33" s="10">
        <f t="shared" si="0"/>
        <v>539.9</v>
      </c>
      <c r="K33" s="5"/>
      <c r="N33">
        <f t="shared" si="21"/>
        <v>27</v>
      </c>
      <c r="O33">
        <v>20</v>
      </c>
      <c r="P33">
        <f t="shared" si="22"/>
        <v>540</v>
      </c>
      <c r="Q33" s="2">
        <v>540.07500000000005</v>
      </c>
      <c r="R33" s="6">
        <f t="shared" si="11"/>
        <v>7.5000000000045475E-2</v>
      </c>
      <c r="S33" s="12">
        <f t="shared" si="23"/>
        <v>4.0000000000077307E-2</v>
      </c>
      <c r="T33" s="12"/>
      <c r="U33" s="2"/>
      <c r="V33" s="9">
        <f t="shared" si="24"/>
        <v>540</v>
      </c>
      <c r="W33" s="2">
        <v>540.14</v>
      </c>
      <c r="X33" s="6">
        <f t="shared" si="12"/>
        <v>0.13999999999998636</v>
      </c>
      <c r="Y33" s="12">
        <f t="shared" si="25"/>
        <v>20.009999999999991</v>
      </c>
      <c r="Z33" s="2"/>
      <c r="AA33" s="10">
        <f t="shared" si="13"/>
        <v>539.92499999999995</v>
      </c>
      <c r="AB33" s="2"/>
      <c r="AD33" s="2">
        <f t="shared" si="1"/>
        <v>0.12000000000000455</v>
      </c>
      <c r="AE33" s="2">
        <f t="shared" si="2"/>
        <v>3.999999999996362E-2</v>
      </c>
      <c r="AF33" s="2"/>
      <c r="AG33" s="8">
        <f t="shared" si="49"/>
        <v>50</v>
      </c>
      <c r="AH33" s="16">
        <v>39.99</v>
      </c>
      <c r="AI33">
        <v>20</v>
      </c>
      <c r="AJ33">
        <f t="shared" si="50"/>
        <v>520</v>
      </c>
      <c r="AK33" s="4">
        <f t="shared" si="15"/>
        <v>519.95500000000004</v>
      </c>
      <c r="AL33" s="6">
        <f t="shared" si="16"/>
        <v>-4.4999999999959073E-2</v>
      </c>
      <c r="AM33" s="12">
        <f t="shared" si="51"/>
        <v>8.0000000000040927E-2</v>
      </c>
      <c r="AN33" s="16">
        <v>39.97</v>
      </c>
      <c r="AO33" s="4">
        <f t="shared" si="7"/>
        <v>519.85500000000002</v>
      </c>
      <c r="AP33" s="6">
        <f t="shared" si="8"/>
        <v>-0.14499999999998181</v>
      </c>
      <c r="AQ33" s="12">
        <f t="shared" si="9"/>
        <v>4.500000000007276E-2</v>
      </c>
    </row>
    <row r="34" spans="1:44" x14ac:dyDescent="0.45">
      <c r="A34">
        <f t="shared" si="18"/>
        <v>28</v>
      </c>
      <c r="C34">
        <v>20</v>
      </c>
      <c r="D34">
        <f t="shared" si="19"/>
        <v>560</v>
      </c>
      <c r="E34" s="2">
        <v>560.17499999999995</v>
      </c>
      <c r="F34" s="6">
        <f t="shared" si="10"/>
        <v>0.17499999999995453</v>
      </c>
      <c r="G34" s="12">
        <f t="shared" si="20"/>
        <v>7.4999999999931788E-2</v>
      </c>
      <c r="H34" s="10">
        <f t="shared" si="0"/>
        <v>559.82500000000005</v>
      </c>
      <c r="K34" s="5"/>
      <c r="N34">
        <f t="shared" si="21"/>
        <v>28</v>
      </c>
      <c r="O34">
        <v>20</v>
      </c>
      <c r="P34">
        <f t="shared" si="22"/>
        <v>560</v>
      </c>
      <c r="Q34" s="2">
        <v>560.07500000000005</v>
      </c>
      <c r="R34" s="6">
        <f t="shared" si="11"/>
        <v>7.5000000000045475E-2</v>
      </c>
      <c r="S34" s="12">
        <f t="shared" si="23"/>
        <v>0</v>
      </c>
      <c r="T34" s="12"/>
      <c r="U34" s="2"/>
      <c r="V34" s="9">
        <f t="shared" si="24"/>
        <v>560</v>
      </c>
      <c r="W34" s="2">
        <v>560.21</v>
      </c>
      <c r="X34" s="6">
        <f t="shared" si="12"/>
        <v>0.21000000000003638</v>
      </c>
      <c r="Y34" s="12">
        <f t="shared" si="25"/>
        <v>20.07000000000005</v>
      </c>
      <c r="Z34" s="2"/>
      <c r="AA34" s="10">
        <f t="shared" si="13"/>
        <v>559.92499999999995</v>
      </c>
      <c r="AB34" s="2"/>
      <c r="AD34" s="2">
        <f t="shared" si="1"/>
        <v>3.999999999996362E-2</v>
      </c>
      <c r="AE34" s="2">
        <f t="shared" si="2"/>
        <v>-9.0000000000145519E-2</v>
      </c>
      <c r="AF34" s="2"/>
      <c r="AG34" s="8">
        <f t="shared" si="49"/>
        <v>49</v>
      </c>
      <c r="AH34" s="16">
        <v>19.91</v>
      </c>
      <c r="AI34">
        <v>20</v>
      </c>
      <c r="AJ34">
        <f t="shared" si="50"/>
        <v>540</v>
      </c>
      <c r="AK34" s="4">
        <f>559.945-AH34</f>
        <v>540.03500000000008</v>
      </c>
      <c r="AL34" s="6">
        <f t="shared" si="16"/>
        <v>3.5000000000081855E-2</v>
      </c>
      <c r="AM34" s="12">
        <f t="shared" si="51"/>
        <v>-9.0000000000145519E-2</v>
      </c>
      <c r="AN34" s="16">
        <v>19.925000000000001</v>
      </c>
      <c r="AO34" s="4">
        <f>559.825-AN34</f>
        <v>539.90000000000009</v>
      </c>
      <c r="AP34" s="6">
        <f t="shared" si="8"/>
        <v>-9.9999999999909051E-2</v>
      </c>
      <c r="AQ34" s="12">
        <f t="shared" si="9"/>
        <v>-7.5000000000045475E-2</v>
      </c>
    </row>
    <row r="35" spans="1:44" x14ac:dyDescent="0.45">
      <c r="A35">
        <f t="shared" si="18"/>
        <v>29</v>
      </c>
      <c r="C35">
        <v>20</v>
      </c>
      <c r="D35">
        <f t="shared" si="19"/>
        <v>580</v>
      </c>
      <c r="E35" s="2">
        <v>580.16999999999996</v>
      </c>
      <c r="F35" s="6">
        <f t="shared" si="10"/>
        <v>0.16999999999995907</v>
      </c>
      <c r="G35" s="12">
        <f t="shared" si="20"/>
        <v>-4.9999999999954525E-3</v>
      </c>
      <c r="H35" s="10">
        <f t="shared" si="0"/>
        <v>579.83000000000004</v>
      </c>
      <c r="K35" s="5"/>
      <c r="N35">
        <f t="shared" si="21"/>
        <v>29</v>
      </c>
      <c r="O35">
        <v>20</v>
      </c>
      <c r="P35">
        <f t="shared" si="22"/>
        <v>580</v>
      </c>
      <c r="Q35" s="2">
        <v>580.09</v>
      </c>
      <c r="R35" s="6">
        <f t="shared" si="11"/>
        <v>9.0000000000031832E-2</v>
      </c>
      <c r="S35" s="12">
        <f t="shared" si="23"/>
        <v>1.4999999999986358E-2</v>
      </c>
      <c r="T35" s="12"/>
      <c r="U35" s="3">
        <v>20.004999999999999</v>
      </c>
      <c r="V35" s="9">
        <f t="shared" si="24"/>
        <v>580</v>
      </c>
      <c r="W35" s="3">
        <f>U35+560.21</f>
        <v>580.21500000000003</v>
      </c>
      <c r="X35" s="6">
        <f t="shared" si="12"/>
        <v>0.21500000000003183</v>
      </c>
      <c r="Y35" s="12">
        <f t="shared" si="25"/>
        <v>0</v>
      </c>
      <c r="Z35" s="2"/>
      <c r="AA35" s="10">
        <f t="shared" si="13"/>
        <v>579.91</v>
      </c>
      <c r="AB35" s="2"/>
      <c r="AD35" s="2">
        <f t="shared" si="1"/>
        <v>0.1450000000000955</v>
      </c>
      <c r="AE35" s="2">
        <f t="shared" si="2"/>
        <v>-4.4999999999959073E-2</v>
      </c>
      <c r="AF35" s="2"/>
      <c r="AG35" s="8">
        <f t="shared" si="49"/>
        <v>48</v>
      </c>
      <c r="AH35" s="17">
        <v>439.16</v>
      </c>
      <c r="AI35">
        <v>20</v>
      </c>
      <c r="AJ35">
        <f t="shared" si="50"/>
        <v>560</v>
      </c>
      <c r="AK35" s="3">
        <f t="shared" ref="AK35:AK55" si="52">999.105-AH35</f>
        <v>559.94499999999994</v>
      </c>
      <c r="AL35" s="6">
        <f t="shared" si="16"/>
        <v>-5.5000000000063665E-2</v>
      </c>
      <c r="AM35" s="12">
        <f t="shared" si="51"/>
        <v>-2.9999999999972715E-2</v>
      </c>
      <c r="AN35" s="17">
        <v>439.3</v>
      </c>
      <c r="AO35" s="3">
        <f t="shared" ref="AO35:AO55" si="53">999.125-AN35</f>
        <v>559.82500000000005</v>
      </c>
      <c r="AP35" s="6">
        <f t="shared" si="8"/>
        <v>-0.17499999999995453</v>
      </c>
      <c r="AQ35" s="12">
        <f t="shared" si="9"/>
        <v>-2.9999999999972715E-2</v>
      </c>
    </row>
    <row r="36" spans="1:44" x14ac:dyDescent="0.45">
      <c r="A36">
        <f t="shared" si="18"/>
        <v>30</v>
      </c>
      <c r="B36" s="3">
        <v>19.95</v>
      </c>
      <c r="C36">
        <v>20</v>
      </c>
      <c r="D36">
        <f t="shared" si="19"/>
        <v>600</v>
      </c>
      <c r="E36" s="3">
        <f t="shared" ref="E36:E56" si="54">B36+580.17</f>
        <v>600.12</v>
      </c>
      <c r="F36" s="6">
        <f t="shared" si="10"/>
        <v>0.12000000000000455</v>
      </c>
      <c r="G36" s="12">
        <f t="shared" si="20"/>
        <v>-4.9999999999954525E-2</v>
      </c>
      <c r="H36" s="10">
        <f t="shared" si="0"/>
        <v>599.88</v>
      </c>
      <c r="K36" s="5"/>
      <c r="M36" s="3">
        <v>20.015000000000001</v>
      </c>
      <c r="N36">
        <f t="shared" si="21"/>
        <v>30</v>
      </c>
      <c r="O36">
        <v>20</v>
      </c>
      <c r="P36">
        <f t="shared" si="22"/>
        <v>600</v>
      </c>
      <c r="Q36" s="3">
        <f>M36+580.09</f>
        <v>600.10500000000002</v>
      </c>
      <c r="R36" s="6">
        <f t="shared" si="11"/>
        <v>0.10500000000001819</v>
      </c>
      <c r="S36" s="12">
        <f t="shared" si="23"/>
        <v>1.4999999999986358E-2</v>
      </c>
      <c r="T36" s="12"/>
      <c r="U36" s="3">
        <v>39.979999999999997</v>
      </c>
      <c r="V36" s="9">
        <f t="shared" si="24"/>
        <v>600</v>
      </c>
      <c r="W36" s="3">
        <f t="shared" ref="W36:W56" si="55">U36+560.21</f>
        <v>600.19000000000005</v>
      </c>
      <c r="X36" s="6">
        <f t="shared" si="12"/>
        <v>0.19000000000005457</v>
      </c>
      <c r="Y36" s="12">
        <f t="shared" si="25"/>
        <v>-20.004999999999974</v>
      </c>
      <c r="Z36" s="2"/>
      <c r="AA36" s="10">
        <f t="shared" si="13"/>
        <v>599.89499999999998</v>
      </c>
      <c r="AB36" s="2"/>
      <c r="AD36" s="2">
        <f t="shared" si="1"/>
        <v>0.19000000000005457</v>
      </c>
      <c r="AE36" s="2">
        <f>AM36-S36</f>
        <v>-8.4999999999922693E-2</v>
      </c>
      <c r="AF36" s="2"/>
      <c r="AG36" s="8">
        <f t="shared" si="49"/>
        <v>47</v>
      </c>
      <c r="AH36" s="17">
        <v>419.19</v>
      </c>
      <c r="AI36">
        <v>20</v>
      </c>
      <c r="AJ36">
        <f t="shared" si="50"/>
        <v>580</v>
      </c>
      <c r="AK36" s="3">
        <f t="shared" si="52"/>
        <v>579.91499999999996</v>
      </c>
      <c r="AL36" s="6">
        <f t="shared" si="16"/>
        <v>-8.500000000003638E-2</v>
      </c>
      <c r="AM36" s="12">
        <f t="shared" si="51"/>
        <v>-6.9999999999936335E-2</v>
      </c>
      <c r="AN36" s="17">
        <v>419.33</v>
      </c>
      <c r="AO36" s="3">
        <f t="shared" si="53"/>
        <v>579.79500000000007</v>
      </c>
      <c r="AP36" s="6">
        <f t="shared" si="8"/>
        <v>-0.20499999999992724</v>
      </c>
      <c r="AQ36" s="12">
        <f t="shared" si="9"/>
        <v>-3.0000000000086402E-2</v>
      </c>
    </row>
    <row r="37" spans="1:44" x14ac:dyDescent="0.45">
      <c r="A37">
        <f t="shared" si="18"/>
        <v>31</v>
      </c>
      <c r="B37" s="3">
        <v>39.82</v>
      </c>
      <c r="C37">
        <v>20</v>
      </c>
      <c r="D37">
        <f t="shared" si="19"/>
        <v>620</v>
      </c>
      <c r="E37" s="3">
        <f t="shared" si="54"/>
        <v>619.99</v>
      </c>
      <c r="F37" s="6">
        <f t="shared" si="10"/>
        <v>-9.9999999999909051E-3</v>
      </c>
      <c r="G37" s="12">
        <f t="shared" si="20"/>
        <v>-0.12999999999999545</v>
      </c>
      <c r="H37" s="10">
        <f t="shared" si="0"/>
        <v>620.01</v>
      </c>
      <c r="K37" s="5"/>
      <c r="M37" s="3">
        <v>39.884999999999998</v>
      </c>
      <c r="N37">
        <f t="shared" si="21"/>
        <v>31</v>
      </c>
      <c r="O37">
        <v>20</v>
      </c>
      <c r="P37">
        <f t="shared" si="22"/>
        <v>620</v>
      </c>
      <c r="Q37" s="3">
        <f t="shared" ref="Q37:Q56" si="56">M37+580.09</f>
        <v>619.97500000000002</v>
      </c>
      <c r="R37" s="6">
        <f t="shared" si="11"/>
        <v>-2.4999999999977263E-2</v>
      </c>
      <c r="S37" s="12">
        <f t="shared" si="23"/>
        <v>-0.12999999999999545</v>
      </c>
      <c r="T37" s="12"/>
      <c r="U37" s="3">
        <v>59.865000000000002</v>
      </c>
      <c r="V37" s="9">
        <f t="shared" si="24"/>
        <v>620</v>
      </c>
      <c r="W37" s="3">
        <f t="shared" si="55"/>
        <v>620.07500000000005</v>
      </c>
      <c r="X37" s="6">
        <f t="shared" si="12"/>
        <v>7.5000000000045475E-2</v>
      </c>
      <c r="Y37" s="12">
        <f t="shared" si="25"/>
        <v>-39.980000000000011</v>
      </c>
      <c r="Z37" s="2"/>
      <c r="AA37" s="10">
        <f t="shared" si="13"/>
        <v>620.02499999999998</v>
      </c>
      <c r="AB37" s="2"/>
      <c r="AD37" s="2">
        <f t="shared" si="1"/>
        <v>0.12999999999999545</v>
      </c>
      <c r="AE37" s="2">
        <f t="shared" si="2"/>
        <v>2.9999999999972715E-2</v>
      </c>
      <c r="AF37" s="2"/>
      <c r="AG37" s="8">
        <f t="shared" si="49"/>
        <v>46</v>
      </c>
      <c r="AH37" s="17">
        <v>399.26</v>
      </c>
      <c r="AI37">
        <v>20</v>
      </c>
      <c r="AJ37">
        <f t="shared" si="50"/>
        <v>600</v>
      </c>
      <c r="AK37" s="3">
        <f t="shared" si="52"/>
        <v>599.84500000000003</v>
      </c>
      <c r="AL37" s="6">
        <f t="shared" si="16"/>
        <v>-0.15499999999997272</v>
      </c>
      <c r="AM37" s="12">
        <f t="shared" si="51"/>
        <v>-0.10000000000002274</v>
      </c>
      <c r="AN37" s="17">
        <v>399.36</v>
      </c>
      <c r="AO37" s="3">
        <f t="shared" si="53"/>
        <v>599.76499999999999</v>
      </c>
      <c r="AP37" s="6">
        <f t="shared" si="8"/>
        <v>-0.23500000000001364</v>
      </c>
      <c r="AQ37" s="12">
        <f t="shared" si="9"/>
        <v>-9.4999999999913598E-2</v>
      </c>
    </row>
    <row r="38" spans="1:44" x14ac:dyDescent="0.45">
      <c r="A38">
        <f t="shared" si="18"/>
        <v>32</v>
      </c>
      <c r="B38" s="3">
        <v>59.704999999999998</v>
      </c>
      <c r="C38">
        <v>20</v>
      </c>
      <c r="D38">
        <f t="shared" si="19"/>
        <v>640</v>
      </c>
      <c r="E38" s="3">
        <f t="shared" si="54"/>
        <v>639.875</v>
      </c>
      <c r="F38" s="6">
        <f t="shared" si="10"/>
        <v>-0.125</v>
      </c>
      <c r="G38" s="12">
        <f t="shared" si="20"/>
        <v>-0.11500000000000909</v>
      </c>
      <c r="H38" s="10">
        <f t="shared" si="0"/>
        <v>640.125</v>
      </c>
      <c r="K38" s="5"/>
      <c r="M38" s="3">
        <v>59.744999999999997</v>
      </c>
      <c r="N38">
        <f t="shared" si="21"/>
        <v>32</v>
      </c>
      <c r="O38">
        <v>20</v>
      </c>
      <c r="P38">
        <f t="shared" si="22"/>
        <v>640</v>
      </c>
      <c r="Q38" s="3">
        <f t="shared" si="56"/>
        <v>639.83500000000004</v>
      </c>
      <c r="R38" s="6">
        <f t="shared" si="11"/>
        <v>-0.16499999999996362</v>
      </c>
      <c r="S38" s="12">
        <f t="shared" si="23"/>
        <v>-0.13999999999998636</v>
      </c>
      <c r="T38" s="12"/>
      <c r="U38" s="3">
        <v>79.745000000000005</v>
      </c>
      <c r="V38" s="9">
        <f t="shared" si="24"/>
        <v>640</v>
      </c>
      <c r="W38" s="3">
        <f t="shared" si="55"/>
        <v>639.95500000000004</v>
      </c>
      <c r="X38" s="6">
        <f t="shared" si="12"/>
        <v>-4.4999999999959073E-2</v>
      </c>
      <c r="Y38" s="12">
        <f t="shared" si="25"/>
        <v>-59.865000000000009</v>
      </c>
      <c r="Z38" s="2"/>
      <c r="AA38" s="10">
        <f t="shared" si="13"/>
        <v>640.16499999999996</v>
      </c>
      <c r="AB38" s="2"/>
      <c r="AD38" s="2">
        <f t="shared" si="1"/>
        <v>9.0000000000031832E-2</v>
      </c>
      <c r="AE38" s="2">
        <f t="shared" si="2"/>
        <v>9.9999999999909051E-3</v>
      </c>
      <c r="AF38" s="2"/>
      <c r="AG38" s="8">
        <f t="shared" si="49"/>
        <v>45</v>
      </c>
      <c r="AH38" s="17">
        <v>379.36</v>
      </c>
      <c r="AI38">
        <v>20</v>
      </c>
      <c r="AJ38">
        <f t="shared" si="50"/>
        <v>620</v>
      </c>
      <c r="AK38" s="3">
        <f t="shared" si="52"/>
        <v>619.745</v>
      </c>
      <c r="AL38" s="6">
        <f t="shared" si="16"/>
        <v>-0.25499999999999545</v>
      </c>
      <c r="AM38" s="12">
        <f t="shared" si="51"/>
        <v>-0.12999999999999545</v>
      </c>
      <c r="AN38" s="17">
        <v>379.45499999999998</v>
      </c>
      <c r="AO38" s="3">
        <f t="shared" si="53"/>
        <v>619.67000000000007</v>
      </c>
      <c r="AP38" s="6">
        <f t="shared" si="8"/>
        <v>-0.32999999999992724</v>
      </c>
      <c r="AQ38" s="12">
        <f t="shared" si="9"/>
        <v>-0.13499999999999091</v>
      </c>
    </row>
    <row r="39" spans="1:44" x14ac:dyDescent="0.45">
      <c r="A39">
        <f t="shared" si="18"/>
        <v>33</v>
      </c>
      <c r="B39" s="3">
        <v>79.644999999999996</v>
      </c>
      <c r="C39">
        <v>20</v>
      </c>
      <c r="D39">
        <f t="shared" si="19"/>
        <v>660</v>
      </c>
      <c r="E39" s="3">
        <f t="shared" si="54"/>
        <v>659.81499999999994</v>
      </c>
      <c r="F39" s="6">
        <f t="shared" si="10"/>
        <v>-0.18500000000005912</v>
      </c>
      <c r="G39" s="12">
        <f t="shared" si="20"/>
        <v>-6.0000000000059117E-2</v>
      </c>
      <c r="H39" s="10">
        <f t="shared" ref="H39:H56" si="57">D39-F39</f>
        <v>660.18500000000006</v>
      </c>
      <c r="K39" s="5"/>
      <c r="M39" s="3">
        <v>79.69</v>
      </c>
      <c r="N39">
        <f t="shared" si="21"/>
        <v>33</v>
      </c>
      <c r="O39">
        <v>20</v>
      </c>
      <c r="P39">
        <f t="shared" si="22"/>
        <v>660</v>
      </c>
      <c r="Q39" s="3">
        <f t="shared" si="56"/>
        <v>659.78</v>
      </c>
      <c r="R39" s="6">
        <f t="shared" si="11"/>
        <v>-0.22000000000002728</v>
      </c>
      <c r="S39" s="12">
        <f t="shared" si="23"/>
        <v>-5.5000000000063665E-2</v>
      </c>
      <c r="T39" s="12"/>
      <c r="U39" s="3">
        <v>99.674999999999997</v>
      </c>
      <c r="V39" s="9">
        <f t="shared" si="24"/>
        <v>660</v>
      </c>
      <c r="W39" s="3">
        <f t="shared" si="55"/>
        <v>659.88499999999999</v>
      </c>
      <c r="X39" s="6">
        <f t="shared" si="12"/>
        <v>-0.11500000000000909</v>
      </c>
      <c r="Y39" s="12">
        <f t="shared" si="25"/>
        <v>-79.745000000000047</v>
      </c>
      <c r="Z39" s="2"/>
      <c r="AA39" s="10">
        <f t="shared" si="13"/>
        <v>660.22</v>
      </c>
      <c r="AB39" s="2"/>
      <c r="AD39" s="2">
        <f t="shared" si="1"/>
        <v>0.16499999999996362</v>
      </c>
      <c r="AE39" s="2">
        <f t="shared" si="2"/>
        <v>-1.4999999999872671E-2</v>
      </c>
      <c r="AF39" s="2"/>
      <c r="AG39" s="8">
        <f t="shared" si="49"/>
        <v>44</v>
      </c>
      <c r="AH39" s="17">
        <v>359.49</v>
      </c>
      <c r="AI39">
        <v>20</v>
      </c>
      <c r="AJ39">
        <f t="shared" si="50"/>
        <v>640</v>
      </c>
      <c r="AK39" s="3">
        <f t="shared" si="52"/>
        <v>639.61500000000001</v>
      </c>
      <c r="AL39" s="6">
        <f t="shared" si="16"/>
        <v>-0.38499999999999091</v>
      </c>
      <c r="AM39" s="12">
        <f t="shared" si="51"/>
        <v>-6.9999999999936335E-2</v>
      </c>
      <c r="AN39" s="17">
        <v>359.59</v>
      </c>
      <c r="AO39" s="3">
        <f t="shared" si="53"/>
        <v>639.53500000000008</v>
      </c>
      <c r="AP39" s="6">
        <f t="shared" si="8"/>
        <v>-0.46499999999991815</v>
      </c>
      <c r="AQ39" s="12">
        <f t="shared" si="9"/>
        <v>-7.5000000000045475E-2</v>
      </c>
    </row>
    <row r="40" spans="1:44" x14ac:dyDescent="0.45">
      <c r="A40">
        <f t="shared" si="18"/>
        <v>34</v>
      </c>
      <c r="B40" s="3">
        <v>99.584999999999994</v>
      </c>
      <c r="C40">
        <v>20</v>
      </c>
      <c r="D40">
        <f t="shared" si="19"/>
        <v>680</v>
      </c>
      <c r="E40" s="3">
        <f t="shared" si="54"/>
        <v>679.755</v>
      </c>
      <c r="F40" s="6">
        <f t="shared" si="10"/>
        <v>-0.24500000000000455</v>
      </c>
      <c r="G40" s="12">
        <f t="shared" si="20"/>
        <v>-5.999999999994543E-2</v>
      </c>
      <c r="H40" s="10">
        <f t="shared" si="57"/>
        <v>680.245</v>
      </c>
      <c r="K40" s="5"/>
      <c r="M40" s="3">
        <v>99.635000000000005</v>
      </c>
      <c r="N40">
        <f t="shared" si="21"/>
        <v>34</v>
      </c>
      <c r="O40">
        <v>20</v>
      </c>
      <c r="P40">
        <f t="shared" si="22"/>
        <v>680</v>
      </c>
      <c r="Q40" s="3">
        <f t="shared" si="56"/>
        <v>679.72500000000002</v>
      </c>
      <c r="R40" s="6">
        <f t="shared" si="11"/>
        <v>-0.27499999999997726</v>
      </c>
      <c r="S40" s="12">
        <f t="shared" si="23"/>
        <v>-5.4999999999949978E-2</v>
      </c>
      <c r="T40" s="12"/>
      <c r="U40" s="3">
        <v>119.63</v>
      </c>
      <c r="V40" s="9">
        <f t="shared" si="24"/>
        <v>680</v>
      </c>
      <c r="W40" s="3">
        <f t="shared" si="55"/>
        <v>679.84</v>
      </c>
      <c r="X40" s="6">
        <f t="shared" si="12"/>
        <v>-0.15999999999996817</v>
      </c>
      <c r="Y40" s="12">
        <f t="shared" si="25"/>
        <v>-99.674999999999955</v>
      </c>
      <c r="Z40" s="2"/>
      <c r="AA40" s="10">
        <f t="shared" si="13"/>
        <v>680.27499999999998</v>
      </c>
      <c r="AB40" s="2"/>
      <c r="AD40" s="2">
        <f t="shared" si="1"/>
        <v>0.17999999999994998</v>
      </c>
      <c r="AE40" s="2">
        <f t="shared" si="2"/>
        <v>9.9999999998772182E-3</v>
      </c>
      <c r="AF40" s="2"/>
      <c r="AG40" s="8">
        <f t="shared" si="49"/>
        <v>43</v>
      </c>
      <c r="AH40" s="17">
        <v>339.56</v>
      </c>
      <c r="AI40">
        <v>20</v>
      </c>
      <c r="AJ40">
        <f t="shared" si="50"/>
        <v>660</v>
      </c>
      <c r="AK40" s="3">
        <f t="shared" si="52"/>
        <v>659.54500000000007</v>
      </c>
      <c r="AL40" s="6">
        <f t="shared" si="16"/>
        <v>-0.45499999999992724</v>
      </c>
      <c r="AM40" s="12">
        <f t="shared" si="51"/>
        <v>-4.500000000007276E-2</v>
      </c>
      <c r="AN40" s="17">
        <v>339.66500000000002</v>
      </c>
      <c r="AO40" s="3">
        <f t="shared" si="53"/>
        <v>659.46</v>
      </c>
      <c r="AP40" s="6">
        <f t="shared" si="8"/>
        <v>-0.53999999999996362</v>
      </c>
      <c r="AQ40" s="12">
        <f t="shared" si="9"/>
        <v>-2.9999999999972715E-2</v>
      </c>
    </row>
    <row r="41" spans="1:44" x14ac:dyDescent="0.45">
      <c r="A41">
        <f t="shared" si="18"/>
        <v>35</v>
      </c>
      <c r="B41" s="3">
        <v>119.58499999999999</v>
      </c>
      <c r="C41">
        <v>20</v>
      </c>
      <c r="D41">
        <f t="shared" si="19"/>
        <v>700</v>
      </c>
      <c r="E41" s="3">
        <f t="shared" si="54"/>
        <v>699.755</v>
      </c>
      <c r="F41" s="6">
        <f t="shared" si="10"/>
        <v>-0.24500000000000455</v>
      </c>
      <c r="G41" s="12">
        <f t="shared" si="20"/>
        <v>0</v>
      </c>
      <c r="H41" s="10">
        <f t="shared" si="57"/>
        <v>700.245</v>
      </c>
      <c r="K41" s="5"/>
      <c r="M41" s="3">
        <v>119.67</v>
      </c>
      <c r="N41">
        <f t="shared" si="21"/>
        <v>35</v>
      </c>
      <c r="O41">
        <v>20</v>
      </c>
      <c r="P41">
        <f t="shared" si="22"/>
        <v>700</v>
      </c>
      <c r="Q41" s="3">
        <f t="shared" si="56"/>
        <v>699.76</v>
      </c>
      <c r="R41" s="6">
        <f t="shared" si="11"/>
        <v>-0.24000000000000909</v>
      </c>
      <c r="S41" s="12">
        <f t="shared" si="23"/>
        <v>3.4999999999968168E-2</v>
      </c>
      <c r="T41" s="12"/>
      <c r="U41" s="3">
        <v>139.66999999999999</v>
      </c>
      <c r="V41" s="9">
        <f t="shared" si="24"/>
        <v>700</v>
      </c>
      <c r="W41" s="3">
        <f t="shared" si="55"/>
        <v>699.88</v>
      </c>
      <c r="X41" s="6">
        <f t="shared" si="12"/>
        <v>-0.12000000000000455</v>
      </c>
      <c r="Y41" s="12">
        <f t="shared" si="25"/>
        <v>-119.63000000000002</v>
      </c>
      <c r="Z41" s="2"/>
      <c r="AA41" s="10">
        <f t="shared" si="13"/>
        <v>700.24</v>
      </c>
      <c r="AB41" s="2"/>
      <c r="AD41" s="2">
        <f t="shared" si="1"/>
        <v>0.25999999999999091</v>
      </c>
      <c r="AE41" s="2">
        <f t="shared" si="2"/>
        <v>-3.999999999996362E-2</v>
      </c>
      <c r="AF41" s="2"/>
      <c r="AG41" s="8">
        <f t="shared" si="49"/>
        <v>42</v>
      </c>
      <c r="AH41" s="17">
        <v>319.60500000000002</v>
      </c>
      <c r="AI41">
        <v>20</v>
      </c>
      <c r="AJ41">
        <f t="shared" si="50"/>
        <v>680</v>
      </c>
      <c r="AK41" s="3">
        <f t="shared" si="52"/>
        <v>679.5</v>
      </c>
      <c r="AL41" s="6">
        <f t="shared" si="16"/>
        <v>-0.5</v>
      </c>
      <c r="AM41" s="12">
        <f t="shared" si="51"/>
        <v>-4.9999999999954525E-3</v>
      </c>
      <c r="AN41" s="17">
        <v>319.69499999999999</v>
      </c>
      <c r="AO41" s="3">
        <f t="shared" si="53"/>
        <v>679.43000000000006</v>
      </c>
      <c r="AP41" s="6">
        <f t="shared" si="8"/>
        <v>-0.56999999999993634</v>
      </c>
      <c r="AQ41" s="12">
        <f t="shared" si="9"/>
        <v>1.4999999999872671E-2</v>
      </c>
      <c r="AR41" s="2"/>
    </row>
    <row r="42" spans="1:44" x14ac:dyDescent="0.45">
      <c r="A42">
        <f t="shared" si="18"/>
        <v>36</v>
      </c>
      <c r="B42" s="3">
        <v>139.63499999999999</v>
      </c>
      <c r="C42">
        <v>20</v>
      </c>
      <c r="D42">
        <f t="shared" si="19"/>
        <v>720</v>
      </c>
      <c r="E42" s="3">
        <f t="shared" si="54"/>
        <v>719.80499999999995</v>
      </c>
      <c r="F42" s="6">
        <f t="shared" si="10"/>
        <v>-0.19500000000005002</v>
      </c>
      <c r="G42" s="12">
        <f t="shared" si="20"/>
        <v>4.9999999999954525E-2</v>
      </c>
      <c r="H42" s="10">
        <f t="shared" si="57"/>
        <v>720.19500000000005</v>
      </c>
      <c r="K42" s="5"/>
      <c r="M42" s="3">
        <v>139.68</v>
      </c>
      <c r="N42">
        <f t="shared" si="21"/>
        <v>36</v>
      </c>
      <c r="O42">
        <v>20</v>
      </c>
      <c r="P42">
        <f t="shared" si="22"/>
        <v>720</v>
      </c>
      <c r="Q42" s="3">
        <f t="shared" si="56"/>
        <v>719.77</v>
      </c>
      <c r="R42" s="6">
        <f t="shared" si="11"/>
        <v>-0.23000000000001819</v>
      </c>
      <c r="S42" s="12">
        <f t="shared" si="23"/>
        <v>9.9999999999909051E-3</v>
      </c>
      <c r="T42" s="12"/>
      <c r="U42" s="3">
        <v>159.70500000000001</v>
      </c>
      <c r="V42" s="9">
        <f t="shared" si="24"/>
        <v>720</v>
      </c>
      <c r="W42" s="3">
        <f t="shared" si="55"/>
        <v>719.91500000000008</v>
      </c>
      <c r="X42" s="6">
        <f t="shared" si="12"/>
        <v>-8.4999999999922693E-2</v>
      </c>
      <c r="Y42" s="12">
        <f t="shared" si="25"/>
        <v>-139.66999999999993</v>
      </c>
      <c r="Z42" s="2"/>
      <c r="AA42" s="10">
        <f t="shared" si="13"/>
        <v>720.23</v>
      </c>
      <c r="AB42" s="2"/>
      <c r="AD42" s="2">
        <f t="shared" si="1"/>
        <v>0.27499999999997726</v>
      </c>
      <c r="AE42" s="2">
        <f t="shared" si="2"/>
        <v>-2.9999999999972715E-2</v>
      </c>
      <c r="AF42" s="2"/>
      <c r="AG42" s="8">
        <f t="shared" si="49"/>
        <v>41</v>
      </c>
      <c r="AH42" s="17">
        <v>299.61</v>
      </c>
      <c r="AI42">
        <v>20</v>
      </c>
      <c r="AJ42">
        <f t="shared" si="50"/>
        <v>700</v>
      </c>
      <c r="AK42" s="3">
        <f t="shared" si="52"/>
        <v>699.495</v>
      </c>
      <c r="AL42" s="6">
        <f t="shared" si="16"/>
        <v>-0.50499999999999545</v>
      </c>
      <c r="AM42" s="12">
        <f t="shared" si="51"/>
        <v>-1.999999999998181E-2</v>
      </c>
      <c r="AN42" s="17">
        <v>299.68</v>
      </c>
      <c r="AO42" s="3">
        <f t="shared" si="53"/>
        <v>699.44499999999994</v>
      </c>
      <c r="AP42" s="6">
        <f t="shared" si="8"/>
        <v>-0.55500000000006366</v>
      </c>
      <c r="AQ42" s="12">
        <f t="shared" si="9"/>
        <v>-3.999999999996362E-2</v>
      </c>
      <c r="AR42" s="2"/>
    </row>
    <row r="43" spans="1:44" x14ac:dyDescent="0.45">
      <c r="A43">
        <f t="shared" si="18"/>
        <v>37</v>
      </c>
      <c r="B43" s="3">
        <v>159.63499999999999</v>
      </c>
      <c r="C43">
        <v>20</v>
      </c>
      <c r="D43">
        <f t="shared" si="19"/>
        <v>740</v>
      </c>
      <c r="E43" s="3">
        <f t="shared" si="54"/>
        <v>739.80499999999995</v>
      </c>
      <c r="F43" s="6">
        <f t="shared" si="10"/>
        <v>-0.19500000000005002</v>
      </c>
      <c r="G43" s="12">
        <f t="shared" si="20"/>
        <v>0</v>
      </c>
      <c r="H43" s="10">
        <f t="shared" si="57"/>
        <v>740.19500000000005</v>
      </c>
      <c r="K43" s="5"/>
      <c r="M43" s="3">
        <v>159.66499999999999</v>
      </c>
      <c r="N43">
        <f t="shared" si="21"/>
        <v>37</v>
      </c>
      <c r="O43">
        <v>20</v>
      </c>
      <c r="P43">
        <f t="shared" si="22"/>
        <v>740</v>
      </c>
      <c r="Q43" s="3">
        <f t="shared" si="56"/>
        <v>739.755</v>
      </c>
      <c r="R43" s="6">
        <f t="shared" si="11"/>
        <v>-0.24500000000000455</v>
      </c>
      <c r="S43" s="12">
        <f t="shared" si="23"/>
        <v>-1.4999999999986358E-2</v>
      </c>
      <c r="T43" s="12"/>
      <c r="U43" s="3">
        <v>179.7</v>
      </c>
      <c r="V43" s="9">
        <f t="shared" si="24"/>
        <v>740</v>
      </c>
      <c r="W43" s="3">
        <f t="shared" si="55"/>
        <v>739.91000000000008</v>
      </c>
      <c r="X43" s="6">
        <f t="shared" si="12"/>
        <v>-8.9999999999918145E-2</v>
      </c>
      <c r="Y43" s="12">
        <f t="shared" si="25"/>
        <v>-159.70499999999998</v>
      </c>
      <c r="Z43" s="2"/>
      <c r="AA43" s="10">
        <f t="shared" si="13"/>
        <v>740.245</v>
      </c>
      <c r="AB43" s="2"/>
      <c r="AD43" s="2">
        <f t="shared" si="1"/>
        <v>0.27999999999997272</v>
      </c>
      <c r="AE43" s="2">
        <f t="shared" si="2"/>
        <v>1.4999999999986358E-2</v>
      </c>
      <c r="AF43" s="2"/>
      <c r="AG43" s="8">
        <f t="shared" si="49"/>
        <v>40</v>
      </c>
      <c r="AH43" s="17">
        <v>279.63</v>
      </c>
      <c r="AI43">
        <v>20</v>
      </c>
      <c r="AJ43">
        <f t="shared" si="50"/>
        <v>720</v>
      </c>
      <c r="AK43" s="3">
        <f t="shared" si="52"/>
        <v>719.47500000000002</v>
      </c>
      <c r="AL43" s="6">
        <f t="shared" si="16"/>
        <v>-0.52499999999997726</v>
      </c>
      <c r="AM43" s="12">
        <f t="shared" si="51"/>
        <v>0</v>
      </c>
      <c r="AN43" s="17">
        <v>279.72000000000003</v>
      </c>
      <c r="AO43" s="3">
        <f t="shared" si="53"/>
        <v>719.40499999999997</v>
      </c>
      <c r="AP43" s="6">
        <f t="shared" si="8"/>
        <v>-0.59500000000002728</v>
      </c>
      <c r="AQ43" s="12">
        <f t="shared" si="9"/>
        <v>5.0000000001091394E-3</v>
      </c>
      <c r="AR43" s="2"/>
    </row>
    <row r="44" spans="1:44" x14ac:dyDescent="0.45">
      <c r="A44">
        <f t="shared" si="18"/>
        <v>38</v>
      </c>
      <c r="B44" s="3">
        <v>179.61500000000001</v>
      </c>
      <c r="C44">
        <v>20</v>
      </c>
      <c r="D44">
        <f t="shared" si="19"/>
        <v>760</v>
      </c>
      <c r="E44" s="3">
        <f t="shared" si="54"/>
        <v>759.78499999999997</v>
      </c>
      <c r="F44" s="6">
        <f t="shared" si="10"/>
        <v>-0.21500000000003183</v>
      </c>
      <c r="G44" s="12">
        <f t="shared" si="20"/>
        <v>-1.999999999998181E-2</v>
      </c>
      <c r="H44" s="10">
        <f t="shared" si="57"/>
        <v>760.21500000000003</v>
      </c>
      <c r="K44" s="5"/>
      <c r="M44" s="3">
        <v>179.66499999999999</v>
      </c>
      <c r="N44">
        <f t="shared" si="21"/>
        <v>38</v>
      </c>
      <c r="O44">
        <v>20</v>
      </c>
      <c r="P44">
        <f t="shared" si="22"/>
        <v>760</v>
      </c>
      <c r="Q44" s="3">
        <f t="shared" si="56"/>
        <v>759.755</v>
      </c>
      <c r="R44" s="6">
        <f t="shared" si="11"/>
        <v>-0.24500000000000455</v>
      </c>
      <c r="S44" s="12">
        <f t="shared" si="23"/>
        <v>0</v>
      </c>
      <c r="T44" s="12"/>
      <c r="U44" s="3">
        <v>199.64</v>
      </c>
      <c r="V44" s="9">
        <f t="shared" si="24"/>
        <v>760</v>
      </c>
      <c r="W44" s="3">
        <f t="shared" si="55"/>
        <v>759.85</v>
      </c>
      <c r="X44" s="6">
        <f t="shared" si="12"/>
        <v>-0.14999999999997726</v>
      </c>
      <c r="Y44" s="12">
        <f t="shared" si="25"/>
        <v>-179.70000000000005</v>
      </c>
      <c r="Z44" s="2"/>
      <c r="AA44" s="10">
        <f t="shared" si="13"/>
        <v>760.245</v>
      </c>
      <c r="AB44" s="2"/>
      <c r="AD44" s="2">
        <f t="shared" si="1"/>
        <v>0.27999999999997272</v>
      </c>
      <c r="AE44" s="2">
        <f t="shared" si="2"/>
        <v>-4.9999999999954525E-3</v>
      </c>
      <c r="AF44" s="2"/>
      <c r="AG44" s="8">
        <f t="shared" si="49"/>
        <v>39</v>
      </c>
      <c r="AH44" s="17">
        <v>259.63</v>
      </c>
      <c r="AI44">
        <v>20</v>
      </c>
      <c r="AJ44">
        <f t="shared" si="50"/>
        <v>740</v>
      </c>
      <c r="AK44" s="3">
        <f t="shared" si="52"/>
        <v>739.47500000000002</v>
      </c>
      <c r="AL44" s="6">
        <f t="shared" si="16"/>
        <v>-0.52499999999997726</v>
      </c>
      <c r="AM44" s="12">
        <f t="shared" si="51"/>
        <v>-4.9999999999954525E-3</v>
      </c>
      <c r="AN44" s="17">
        <v>259.71499999999997</v>
      </c>
      <c r="AO44" s="3">
        <f t="shared" si="53"/>
        <v>739.41000000000008</v>
      </c>
      <c r="AP44" s="6">
        <f t="shared" si="8"/>
        <v>-0.58999999999991815</v>
      </c>
      <c r="AQ44" s="12">
        <f t="shared" si="9"/>
        <v>-1.1368683772161603E-13</v>
      </c>
      <c r="AR44" s="2"/>
    </row>
    <row r="45" spans="1:44" x14ac:dyDescent="0.45">
      <c r="A45">
        <f t="shared" si="18"/>
        <v>39</v>
      </c>
      <c r="B45" s="3">
        <v>199.52</v>
      </c>
      <c r="C45">
        <v>20</v>
      </c>
      <c r="D45">
        <f t="shared" si="19"/>
        <v>780</v>
      </c>
      <c r="E45" s="3">
        <f t="shared" si="54"/>
        <v>779.68999999999994</v>
      </c>
      <c r="F45" s="6">
        <f t="shared" si="10"/>
        <v>-0.31000000000005912</v>
      </c>
      <c r="G45" s="12">
        <f t="shared" si="20"/>
        <v>-9.5000000000027285E-2</v>
      </c>
      <c r="H45" s="10">
        <f t="shared" si="57"/>
        <v>780.31000000000006</v>
      </c>
      <c r="K45" s="5"/>
      <c r="M45" s="3">
        <v>199.54499999999999</v>
      </c>
      <c r="N45">
        <f t="shared" si="21"/>
        <v>39</v>
      </c>
      <c r="O45">
        <v>20</v>
      </c>
      <c r="P45">
        <f t="shared" si="22"/>
        <v>780</v>
      </c>
      <c r="Q45" s="3">
        <f t="shared" si="56"/>
        <v>779.63499999999999</v>
      </c>
      <c r="R45" s="6">
        <f t="shared" si="11"/>
        <v>-0.36500000000000909</v>
      </c>
      <c r="S45" s="12">
        <f t="shared" si="23"/>
        <v>-0.12000000000000455</v>
      </c>
      <c r="T45" s="12"/>
      <c r="U45" s="3">
        <v>219.57499999999999</v>
      </c>
      <c r="V45" s="9">
        <f t="shared" si="24"/>
        <v>780</v>
      </c>
      <c r="W45" s="3">
        <f t="shared" si="55"/>
        <v>779.78500000000008</v>
      </c>
      <c r="X45" s="6">
        <f t="shared" si="12"/>
        <v>-0.21499999999991815</v>
      </c>
      <c r="Y45" s="12">
        <f t="shared" si="25"/>
        <v>-199.63999999999993</v>
      </c>
      <c r="Z45" s="2"/>
      <c r="AA45" s="10">
        <f t="shared" si="13"/>
        <v>780.36500000000001</v>
      </c>
      <c r="AB45" s="2"/>
      <c r="AD45" s="2">
        <f t="shared" si="1"/>
        <v>0.16499999999996362</v>
      </c>
      <c r="AE45" s="2">
        <f t="shared" si="2"/>
        <v>6.0000000000059117E-2</v>
      </c>
      <c r="AF45" s="2"/>
      <c r="AG45" s="8">
        <f t="shared" si="49"/>
        <v>38</v>
      </c>
      <c r="AH45" s="17">
        <v>239.63499999999999</v>
      </c>
      <c r="AI45">
        <v>20</v>
      </c>
      <c r="AJ45">
        <f t="shared" si="50"/>
        <v>760</v>
      </c>
      <c r="AK45" s="3">
        <f t="shared" si="52"/>
        <v>759.47</v>
      </c>
      <c r="AL45" s="6">
        <f t="shared" si="16"/>
        <v>-0.52999999999997272</v>
      </c>
      <c r="AM45" s="12">
        <f t="shared" si="51"/>
        <v>-5.999999999994543E-2</v>
      </c>
      <c r="AN45" s="17">
        <v>239.715</v>
      </c>
      <c r="AO45" s="3">
        <f t="shared" si="53"/>
        <v>759.41</v>
      </c>
      <c r="AP45" s="6">
        <f t="shared" si="8"/>
        <v>-0.59000000000003183</v>
      </c>
      <c r="AQ45" s="12">
        <f t="shared" si="9"/>
        <v>-5.4999999999949978E-2</v>
      </c>
      <c r="AR45" s="2"/>
    </row>
    <row r="46" spans="1:44" x14ac:dyDescent="0.45">
      <c r="A46">
        <f t="shared" si="18"/>
        <v>40</v>
      </c>
      <c r="B46" s="3">
        <v>219.42</v>
      </c>
      <c r="C46">
        <v>20</v>
      </c>
      <c r="D46">
        <f t="shared" si="19"/>
        <v>800</v>
      </c>
      <c r="E46" s="3">
        <f t="shared" si="54"/>
        <v>799.58999999999992</v>
      </c>
      <c r="F46" s="6">
        <f t="shared" si="10"/>
        <v>-0.41000000000008185</v>
      </c>
      <c r="G46" s="12">
        <f t="shared" si="20"/>
        <v>-0.10000000000002274</v>
      </c>
      <c r="H46" s="10">
        <f t="shared" si="57"/>
        <v>800.41000000000008</v>
      </c>
      <c r="K46" s="5"/>
      <c r="M46" s="3">
        <v>219.4</v>
      </c>
      <c r="N46">
        <f t="shared" si="21"/>
        <v>40</v>
      </c>
      <c r="O46">
        <v>20</v>
      </c>
      <c r="P46">
        <f t="shared" si="22"/>
        <v>800</v>
      </c>
      <c r="Q46" s="3">
        <f t="shared" si="56"/>
        <v>799.49</v>
      </c>
      <c r="R46" s="6">
        <f t="shared" si="11"/>
        <v>-0.50999999999999091</v>
      </c>
      <c r="S46" s="12">
        <f t="shared" si="23"/>
        <v>-0.14499999999998181</v>
      </c>
      <c r="T46" s="12"/>
      <c r="U46" s="3">
        <v>239.43</v>
      </c>
      <c r="V46" s="9">
        <f t="shared" si="24"/>
        <v>800</v>
      </c>
      <c r="W46" s="3">
        <f t="shared" si="55"/>
        <v>799.6400000000001</v>
      </c>
      <c r="X46" s="6">
        <f t="shared" si="12"/>
        <v>-0.35999999999989996</v>
      </c>
      <c r="Y46" s="12">
        <f t="shared" si="25"/>
        <v>-219.57499999999999</v>
      </c>
      <c r="Z46" s="2"/>
      <c r="AA46" s="10">
        <f t="shared" si="13"/>
        <v>800.51</v>
      </c>
      <c r="AB46" s="2"/>
      <c r="AD46" s="2">
        <f t="shared" si="1"/>
        <v>7.999999999992724E-2</v>
      </c>
      <c r="AE46" s="2">
        <f t="shared" si="2"/>
        <v>7.999999999992724E-2</v>
      </c>
      <c r="AF46" s="2"/>
      <c r="AG46" s="8">
        <f t="shared" si="49"/>
        <v>37</v>
      </c>
      <c r="AH46" s="17">
        <v>219.69499999999999</v>
      </c>
      <c r="AI46">
        <v>20</v>
      </c>
      <c r="AJ46">
        <f t="shared" si="50"/>
        <v>780</v>
      </c>
      <c r="AK46" s="3">
        <f t="shared" si="52"/>
        <v>779.41000000000008</v>
      </c>
      <c r="AL46" s="6">
        <f t="shared" si="16"/>
        <v>-0.58999999999991815</v>
      </c>
      <c r="AM46" s="12">
        <f t="shared" si="51"/>
        <v>-6.500000000005457E-2</v>
      </c>
      <c r="AN46" s="17">
        <v>219.77</v>
      </c>
      <c r="AO46" s="3">
        <f t="shared" si="53"/>
        <v>779.35500000000002</v>
      </c>
      <c r="AP46" s="6">
        <f t="shared" si="8"/>
        <v>-0.64499999999998181</v>
      </c>
      <c r="AQ46" s="12">
        <f t="shared" si="9"/>
        <v>-6.500000000005457E-2</v>
      </c>
      <c r="AR46" s="2"/>
    </row>
    <row r="47" spans="1:44" x14ac:dyDescent="0.45">
      <c r="A47">
        <f t="shared" si="18"/>
        <v>41</v>
      </c>
      <c r="B47" s="3">
        <v>239.32</v>
      </c>
      <c r="C47">
        <v>20</v>
      </c>
      <c r="D47">
        <f t="shared" si="19"/>
        <v>820</v>
      </c>
      <c r="E47" s="3">
        <f t="shared" si="54"/>
        <v>819.49</v>
      </c>
      <c r="F47" s="6">
        <f t="shared" si="10"/>
        <v>-0.50999999999999091</v>
      </c>
      <c r="G47" s="12">
        <f t="shared" si="20"/>
        <v>-9.9999999999909051E-2</v>
      </c>
      <c r="H47" s="10">
        <f t="shared" si="57"/>
        <v>820.51</v>
      </c>
      <c r="K47" s="5"/>
      <c r="M47" s="3">
        <v>239.29499999999999</v>
      </c>
      <c r="N47">
        <f t="shared" si="21"/>
        <v>41</v>
      </c>
      <c r="O47">
        <v>20</v>
      </c>
      <c r="P47">
        <f t="shared" si="22"/>
        <v>820</v>
      </c>
      <c r="Q47" s="3">
        <f t="shared" si="56"/>
        <v>819.38499999999999</v>
      </c>
      <c r="R47" s="6">
        <f t="shared" si="11"/>
        <v>-0.61500000000000909</v>
      </c>
      <c r="S47" s="12">
        <f t="shared" si="23"/>
        <v>-0.10500000000001819</v>
      </c>
      <c r="T47" s="12"/>
      <c r="U47" s="3">
        <v>259.38</v>
      </c>
      <c r="V47" s="9">
        <f t="shared" si="24"/>
        <v>820</v>
      </c>
      <c r="W47" s="3">
        <f t="shared" si="55"/>
        <v>819.59</v>
      </c>
      <c r="X47" s="6">
        <f t="shared" si="12"/>
        <v>-0.40999999999996817</v>
      </c>
      <c r="Y47" s="12">
        <f t="shared" si="25"/>
        <v>-239.43000000000006</v>
      </c>
      <c r="Z47" s="2"/>
      <c r="AA47" s="10">
        <f t="shared" si="13"/>
        <v>820.61500000000001</v>
      </c>
      <c r="AB47" s="2"/>
      <c r="AD47" s="2">
        <f t="shared" si="1"/>
        <v>3.999999999996362E-2</v>
      </c>
      <c r="AE47" s="2">
        <f t="shared" si="2"/>
        <v>7.0000000000050022E-2</v>
      </c>
      <c r="AF47" s="2"/>
      <c r="AG47" s="8">
        <f t="shared" si="49"/>
        <v>36</v>
      </c>
      <c r="AH47" s="17">
        <v>199.76</v>
      </c>
      <c r="AI47">
        <v>20</v>
      </c>
      <c r="AJ47">
        <f t="shared" si="50"/>
        <v>800</v>
      </c>
      <c r="AK47" s="3">
        <f t="shared" si="52"/>
        <v>799.34500000000003</v>
      </c>
      <c r="AL47" s="6">
        <f t="shared" si="16"/>
        <v>-0.65499999999997272</v>
      </c>
      <c r="AM47" s="12">
        <f t="shared" si="51"/>
        <v>-3.4999999999968168E-2</v>
      </c>
      <c r="AN47" s="17">
        <v>199.83500000000001</v>
      </c>
      <c r="AO47" s="3">
        <f t="shared" si="53"/>
        <v>799.29</v>
      </c>
      <c r="AP47" s="6">
        <f t="shared" si="8"/>
        <v>-0.71000000000003638</v>
      </c>
      <c r="AQ47" s="12">
        <f t="shared" si="9"/>
        <v>-3.999999999996362E-2</v>
      </c>
      <c r="AR47" s="2"/>
    </row>
    <row r="48" spans="1:44" x14ac:dyDescent="0.45">
      <c r="A48">
        <f t="shared" si="18"/>
        <v>42</v>
      </c>
      <c r="B48" s="3">
        <v>259.29500000000002</v>
      </c>
      <c r="C48">
        <v>20</v>
      </c>
      <c r="D48">
        <f t="shared" si="19"/>
        <v>840</v>
      </c>
      <c r="E48" s="3">
        <f t="shared" si="54"/>
        <v>839.46499999999992</v>
      </c>
      <c r="F48" s="6">
        <f t="shared" si="10"/>
        <v>-0.53500000000008185</v>
      </c>
      <c r="G48" s="12">
        <f t="shared" si="20"/>
        <v>-2.5000000000090949E-2</v>
      </c>
      <c r="H48" s="10">
        <f t="shared" si="57"/>
        <v>840.53500000000008</v>
      </c>
      <c r="K48" s="5"/>
      <c r="M48" s="3">
        <v>259.27499999999998</v>
      </c>
      <c r="N48">
        <f t="shared" si="21"/>
        <v>42</v>
      </c>
      <c r="O48">
        <v>20</v>
      </c>
      <c r="P48">
        <f t="shared" si="22"/>
        <v>840</v>
      </c>
      <c r="Q48" s="3">
        <f t="shared" si="56"/>
        <v>839.36500000000001</v>
      </c>
      <c r="R48" s="6">
        <f t="shared" si="11"/>
        <v>-0.63499999999999091</v>
      </c>
      <c r="S48" s="12">
        <f t="shared" si="23"/>
        <v>-1.999999999998181E-2</v>
      </c>
      <c r="T48" s="12"/>
      <c r="U48" s="3">
        <v>279.32499999999999</v>
      </c>
      <c r="V48" s="9">
        <f t="shared" si="24"/>
        <v>840</v>
      </c>
      <c r="W48" s="3">
        <f t="shared" si="55"/>
        <v>839.53500000000008</v>
      </c>
      <c r="X48" s="6">
        <f t="shared" si="12"/>
        <v>-0.46499999999991815</v>
      </c>
      <c r="Y48" s="12">
        <f t="shared" si="25"/>
        <v>-259.37999999999994</v>
      </c>
      <c r="Z48" s="2"/>
      <c r="AA48" s="10">
        <f t="shared" si="13"/>
        <v>840.63499999999999</v>
      </c>
      <c r="AB48" s="2"/>
      <c r="AD48" s="2">
        <f t="shared" si="1"/>
        <v>5.4999999999949978E-2</v>
      </c>
      <c r="AE48" s="2">
        <f t="shared" si="2"/>
        <v>2.9999999999972715E-2</v>
      </c>
      <c r="AF48" s="2"/>
      <c r="AG48" s="8">
        <f t="shared" si="49"/>
        <v>35</v>
      </c>
      <c r="AH48" s="17">
        <v>179.79499999999999</v>
      </c>
      <c r="AI48">
        <v>20</v>
      </c>
      <c r="AJ48">
        <f t="shared" si="50"/>
        <v>820</v>
      </c>
      <c r="AK48" s="3">
        <f t="shared" si="52"/>
        <v>819.31000000000006</v>
      </c>
      <c r="AL48" s="6">
        <f t="shared" si="16"/>
        <v>-0.68999999999994088</v>
      </c>
      <c r="AM48" s="12">
        <f t="shared" si="51"/>
        <v>9.9999999999909051E-3</v>
      </c>
      <c r="AN48" s="17">
        <v>179.875</v>
      </c>
      <c r="AO48" s="3">
        <f t="shared" si="53"/>
        <v>819.25</v>
      </c>
      <c r="AP48" s="6">
        <f t="shared" si="8"/>
        <v>-0.75</v>
      </c>
      <c r="AQ48" s="12">
        <f t="shared" si="9"/>
        <v>2.9999999999972715E-2</v>
      </c>
      <c r="AR48" s="2"/>
    </row>
    <row r="49" spans="1:44" x14ac:dyDescent="0.45">
      <c r="A49">
        <f t="shared" si="18"/>
        <v>43</v>
      </c>
      <c r="B49" s="3">
        <v>279.27999999999997</v>
      </c>
      <c r="C49">
        <v>20</v>
      </c>
      <c r="D49">
        <f t="shared" si="19"/>
        <v>860</v>
      </c>
      <c r="E49" s="3">
        <f t="shared" si="54"/>
        <v>859.44999999999993</v>
      </c>
      <c r="F49" s="6">
        <f t="shared" si="10"/>
        <v>-0.55000000000006821</v>
      </c>
      <c r="G49" s="12">
        <f t="shared" si="20"/>
        <v>-1.4999999999986358E-2</v>
      </c>
      <c r="H49" s="10">
        <f t="shared" si="57"/>
        <v>860.55000000000007</v>
      </c>
      <c r="K49" s="5"/>
      <c r="M49" s="3">
        <v>279.25</v>
      </c>
      <c r="N49">
        <f t="shared" si="21"/>
        <v>43</v>
      </c>
      <c r="O49">
        <v>20</v>
      </c>
      <c r="P49">
        <f t="shared" si="22"/>
        <v>860</v>
      </c>
      <c r="Q49" s="3">
        <f t="shared" si="56"/>
        <v>859.34</v>
      </c>
      <c r="R49" s="6">
        <f t="shared" si="11"/>
        <v>-0.65999999999996817</v>
      </c>
      <c r="S49" s="12">
        <f t="shared" si="23"/>
        <v>-2.4999999999977263E-2</v>
      </c>
      <c r="T49" s="12"/>
      <c r="U49" s="3">
        <v>299.31</v>
      </c>
      <c r="V49" s="9">
        <f t="shared" si="24"/>
        <v>860</v>
      </c>
      <c r="W49" s="3">
        <f t="shared" si="55"/>
        <v>859.52</v>
      </c>
      <c r="X49" s="6">
        <f t="shared" si="12"/>
        <v>-0.48000000000001819</v>
      </c>
      <c r="Y49" s="12">
        <f t="shared" si="25"/>
        <v>-279.3250000000001</v>
      </c>
      <c r="Z49" s="2"/>
      <c r="AA49" s="10">
        <f t="shared" si="13"/>
        <v>860.66</v>
      </c>
      <c r="AB49" s="2"/>
      <c r="AD49" s="2">
        <f t="shared" si="1"/>
        <v>1.999999999998181E-2</v>
      </c>
      <c r="AE49" s="2">
        <f t="shared" si="2"/>
        <v>4.4999999999959073E-2</v>
      </c>
      <c r="AF49" s="2"/>
      <c r="AG49" s="8">
        <f t="shared" si="49"/>
        <v>34</v>
      </c>
      <c r="AH49" s="17">
        <v>159.785</v>
      </c>
      <c r="AI49">
        <v>20</v>
      </c>
      <c r="AJ49">
        <f t="shared" si="50"/>
        <v>840</v>
      </c>
      <c r="AK49" s="3">
        <f t="shared" si="52"/>
        <v>839.32</v>
      </c>
      <c r="AL49" s="6">
        <f t="shared" si="16"/>
        <v>-0.67999999999994998</v>
      </c>
      <c r="AM49" s="12">
        <f t="shared" si="51"/>
        <v>1.999999999998181E-2</v>
      </c>
      <c r="AN49" s="17">
        <v>159.845</v>
      </c>
      <c r="AO49" s="3">
        <f t="shared" si="53"/>
        <v>839.28</v>
      </c>
      <c r="AP49" s="6">
        <f t="shared" si="8"/>
        <v>-0.72000000000002728</v>
      </c>
      <c r="AQ49" s="12">
        <f t="shared" si="9"/>
        <v>0</v>
      </c>
      <c r="AR49" s="2"/>
    </row>
    <row r="50" spans="1:44" x14ac:dyDescent="0.45">
      <c r="A50">
        <f t="shared" si="18"/>
        <v>44</v>
      </c>
      <c r="B50" s="3">
        <v>299.33499999999998</v>
      </c>
      <c r="C50">
        <v>20</v>
      </c>
      <c r="D50">
        <f t="shared" si="19"/>
        <v>880</v>
      </c>
      <c r="E50" s="3">
        <f t="shared" si="54"/>
        <v>879.50499999999988</v>
      </c>
      <c r="F50" s="6">
        <f t="shared" si="10"/>
        <v>-0.49500000000011823</v>
      </c>
      <c r="G50" s="12">
        <f t="shared" si="20"/>
        <v>5.4999999999949978E-2</v>
      </c>
      <c r="H50" s="10">
        <f t="shared" si="57"/>
        <v>880.49500000000012</v>
      </c>
      <c r="K50" s="5"/>
      <c r="M50" s="3">
        <v>299.29500000000002</v>
      </c>
      <c r="N50">
        <f t="shared" si="21"/>
        <v>44</v>
      </c>
      <c r="O50">
        <v>20</v>
      </c>
      <c r="P50">
        <f t="shared" si="22"/>
        <v>880</v>
      </c>
      <c r="Q50" s="3">
        <f t="shared" si="56"/>
        <v>879.38499999999999</v>
      </c>
      <c r="R50" s="6">
        <f t="shared" si="11"/>
        <v>-0.61500000000000909</v>
      </c>
      <c r="S50" s="12">
        <f t="shared" si="23"/>
        <v>4.4999999999959073E-2</v>
      </c>
      <c r="T50" s="12"/>
      <c r="U50" s="3">
        <v>319.34500000000003</v>
      </c>
      <c r="V50" s="9">
        <f t="shared" si="24"/>
        <v>880</v>
      </c>
      <c r="W50" s="3">
        <f t="shared" si="55"/>
        <v>879.55500000000006</v>
      </c>
      <c r="X50" s="6">
        <f t="shared" si="12"/>
        <v>-0.44499999999993634</v>
      </c>
      <c r="Y50" s="12">
        <f t="shared" si="25"/>
        <v>-299.30999999999995</v>
      </c>
      <c r="Z50" s="2"/>
      <c r="AA50" s="10">
        <f t="shared" si="13"/>
        <v>880.61500000000001</v>
      </c>
      <c r="AB50" s="2"/>
      <c r="AD50" s="2">
        <f t="shared" si="1"/>
        <v>4.4999999999959073E-2</v>
      </c>
      <c r="AE50" s="2">
        <f t="shared" si="2"/>
        <v>-4.9999999999954525E-2</v>
      </c>
      <c r="AF50" s="2"/>
      <c r="AG50" s="8">
        <f t="shared" si="49"/>
        <v>33</v>
      </c>
      <c r="AH50" s="17">
        <v>139.76499999999999</v>
      </c>
      <c r="AI50">
        <v>20</v>
      </c>
      <c r="AJ50">
        <f t="shared" si="50"/>
        <v>860</v>
      </c>
      <c r="AK50" s="3">
        <f t="shared" si="52"/>
        <v>859.34</v>
      </c>
      <c r="AL50" s="6">
        <f t="shared" si="16"/>
        <v>-0.65999999999996817</v>
      </c>
      <c r="AM50" s="12">
        <f t="shared" si="51"/>
        <v>-4.9999999999954525E-3</v>
      </c>
      <c r="AN50" s="17">
        <v>139.845</v>
      </c>
      <c r="AO50" s="3">
        <f t="shared" si="53"/>
        <v>859.28</v>
      </c>
      <c r="AP50" s="6">
        <f t="shared" si="8"/>
        <v>-0.72000000000002728</v>
      </c>
      <c r="AQ50" s="12">
        <f t="shared" si="9"/>
        <v>9.9999999999909051E-3</v>
      </c>
      <c r="AR50" s="2"/>
    </row>
    <row r="51" spans="1:44" x14ac:dyDescent="0.45">
      <c r="A51">
        <f t="shared" si="18"/>
        <v>45</v>
      </c>
      <c r="B51" s="3">
        <v>319.34500000000003</v>
      </c>
      <c r="C51">
        <v>20</v>
      </c>
      <c r="D51">
        <f t="shared" si="19"/>
        <v>900</v>
      </c>
      <c r="E51" s="3">
        <f t="shared" si="54"/>
        <v>899.51499999999999</v>
      </c>
      <c r="F51" s="6">
        <f t="shared" si="10"/>
        <v>-0.48500000000001364</v>
      </c>
      <c r="G51" s="12">
        <f t="shared" si="20"/>
        <v>1.0000000000104592E-2</v>
      </c>
      <c r="H51" s="10">
        <f t="shared" si="57"/>
        <v>900.48500000000001</v>
      </c>
      <c r="K51" s="5"/>
      <c r="M51" s="3">
        <v>319.29000000000002</v>
      </c>
      <c r="N51">
        <f t="shared" si="21"/>
        <v>45</v>
      </c>
      <c r="O51">
        <v>20</v>
      </c>
      <c r="P51">
        <f t="shared" si="22"/>
        <v>900</v>
      </c>
      <c r="Q51" s="3">
        <f t="shared" si="56"/>
        <v>899.38000000000011</v>
      </c>
      <c r="R51" s="6">
        <f t="shared" si="11"/>
        <v>-0.61999999999989086</v>
      </c>
      <c r="S51" s="12">
        <f t="shared" si="23"/>
        <v>-4.9999999998817657E-3</v>
      </c>
      <c r="T51" s="12"/>
      <c r="U51" s="3">
        <v>339.34500000000003</v>
      </c>
      <c r="V51" s="9">
        <f t="shared" si="24"/>
        <v>900</v>
      </c>
      <c r="W51" s="3">
        <f t="shared" si="55"/>
        <v>899.55500000000006</v>
      </c>
      <c r="X51" s="6">
        <f t="shared" si="12"/>
        <v>-0.44499999999993634</v>
      </c>
      <c r="Y51" s="12">
        <f t="shared" si="25"/>
        <v>-319.34500000000003</v>
      </c>
      <c r="Z51" s="2"/>
      <c r="AA51" s="10">
        <f t="shared" si="13"/>
        <v>900.61999999999989</v>
      </c>
      <c r="AB51" s="2"/>
      <c r="AD51" s="2">
        <f t="shared" si="1"/>
        <v>4.500000000007276E-2</v>
      </c>
      <c r="AE51" s="2">
        <f t="shared" si="2"/>
        <v>2.4999999999863576E-2</v>
      </c>
      <c r="AF51" s="2"/>
      <c r="AG51" s="8">
        <f t="shared" si="49"/>
        <v>32</v>
      </c>
      <c r="AH51" s="17">
        <v>119.77</v>
      </c>
      <c r="AI51">
        <v>20</v>
      </c>
      <c r="AJ51">
        <f t="shared" si="50"/>
        <v>880</v>
      </c>
      <c r="AK51" s="3">
        <f t="shared" si="52"/>
        <v>879.33500000000004</v>
      </c>
      <c r="AL51" s="6">
        <f t="shared" si="16"/>
        <v>-0.66499999999996362</v>
      </c>
      <c r="AM51" s="12">
        <f t="shared" si="51"/>
        <v>1.999999999998181E-2</v>
      </c>
      <c r="AN51" s="17">
        <v>119.83499999999999</v>
      </c>
      <c r="AO51" s="3">
        <f t="shared" si="53"/>
        <v>879.29</v>
      </c>
      <c r="AP51" s="6">
        <f t="shared" si="8"/>
        <v>-0.71000000000003638</v>
      </c>
      <c r="AQ51" s="12">
        <f t="shared" si="9"/>
        <v>4.9999999999954525E-3</v>
      </c>
      <c r="AR51" s="2"/>
    </row>
    <row r="52" spans="1:44" x14ac:dyDescent="0.45">
      <c r="A52">
        <f t="shared" si="18"/>
        <v>46</v>
      </c>
      <c r="B52" s="3">
        <v>339.37</v>
      </c>
      <c r="C52">
        <v>20</v>
      </c>
      <c r="D52">
        <f t="shared" si="19"/>
        <v>920</v>
      </c>
      <c r="E52" s="3">
        <f t="shared" si="54"/>
        <v>919.54</v>
      </c>
      <c r="F52" s="6">
        <f t="shared" si="10"/>
        <v>-0.46000000000003638</v>
      </c>
      <c r="G52" s="12">
        <f t="shared" si="20"/>
        <v>2.4999999999977263E-2</v>
      </c>
      <c r="H52" s="10">
        <f t="shared" si="57"/>
        <v>920.46</v>
      </c>
      <c r="K52" s="5"/>
      <c r="M52" s="3">
        <v>339.33499999999998</v>
      </c>
      <c r="N52">
        <f t="shared" si="21"/>
        <v>46</v>
      </c>
      <c r="O52">
        <v>20</v>
      </c>
      <c r="P52">
        <f t="shared" si="22"/>
        <v>920</v>
      </c>
      <c r="Q52" s="3">
        <f t="shared" si="56"/>
        <v>919.42499999999995</v>
      </c>
      <c r="R52" s="6">
        <f t="shared" si="11"/>
        <v>-0.57500000000004547</v>
      </c>
      <c r="S52" s="12">
        <f t="shared" si="23"/>
        <v>4.4999999999845386E-2</v>
      </c>
      <c r="T52" s="12"/>
      <c r="U52" s="3">
        <v>359.36</v>
      </c>
      <c r="V52" s="9">
        <f t="shared" si="24"/>
        <v>920</v>
      </c>
      <c r="W52" s="3">
        <f t="shared" si="55"/>
        <v>919.57</v>
      </c>
      <c r="X52" s="6">
        <f t="shared" si="12"/>
        <v>-0.42999999999994998</v>
      </c>
      <c r="Y52" s="12">
        <f t="shared" si="25"/>
        <v>-339.34500000000003</v>
      </c>
      <c r="Z52" s="2"/>
      <c r="AA52" s="10">
        <f t="shared" si="13"/>
        <v>920.57500000000005</v>
      </c>
      <c r="AB52" s="2"/>
      <c r="AD52" s="2">
        <f t="shared" si="1"/>
        <v>6.9999999999936335E-2</v>
      </c>
      <c r="AE52" s="2">
        <f t="shared" si="2"/>
        <v>-2.9999999999859028E-2</v>
      </c>
      <c r="AF52" s="2"/>
      <c r="AG52" s="8">
        <f t="shared" si="49"/>
        <v>31</v>
      </c>
      <c r="AH52" s="17">
        <v>99.75</v>
      </c>
      <c r="AI52">
        <v>20</v>
      </c>
      <c r="AJ52">
        <f t="shared" si="50"/>
        <v>900</v>
      </c>
      <c r="AK52" s="3">
        <f t="shared" si="52"/>
        <v>899.35500000000002</v>
      </c>
      <c r="AL52" s="6">
        <f t="shared" si="16"/>
        <v>-0.64499999999998181</v>
      </c>
      <c r="AM52" s="12">
        <f t="shared" si="51"/>
        <v>1.4999999999986358E-2</v>
      </c>
      <c r="AN52" s="17">
        <v>99.83</v>
      </c>
      <c r="AO52" s="3">
        <f t="shared" si="53"/>
        <v>899.29499999999996</v>
      </c>
      <c r="AP52" s="6">
        <f t="shared" si="8"/>
        <v>-0.70500000000004093</v>
      </c>
      <c r="AQ52" s="12">
        <f t="shared" si="9"/>
        <v>3.5000000000081855E-2</v>
      </c>
      <c r="AR52" s="2"/>
    </row>
    <row r="53" spans="1:44" x14ac:dyDescent="0.45">
      <c r="A53">
        <f t="shared" si="18"/>
        <v>47</v>
      </c>
      <c r="B53" s="3">
        <v>359.28500000000003</v>
      </c>
      <c r="C53">
        <v>20</v>
      </c>
      <c r="D53">
        <f t="shared" si="19"/>
        <v>940</v>
      </c>
      <c r="E53" s="3">
        <f t="shared" si="54"/>
        <v>939.45499999999993</v>
      </c>
      <c r="F53" s="6">
        <f t="shared" si="10"/>
        <v>-0.54500000000007276</v>
      </c>
      <c r="G53" s="12">
        <f t="shared" si="20"/>
        <v>-8.500000000003638E-2</v>
      </c>
      <c r="H53" s="10">
        <f t="shared" si="57"/>
        <v>940.54500000000007</v>
      </c>
      <c r="K53" s="5"/>
      <c r="M53" s="3">
        <v>359.28</v>
      </c>
      <c r="N53">
        <f t="shared" si="21"/>
        <v>47</v>
      </c>
      <c r="O53">
        <v>20</v>
      </c>
      <c r="P53">
        <f t="shared" si="22"/>
        <v>940</v>
      </c>
      <c r="Q53" s="3">
        <f t="shared" si="56"/>
        <v>939.37</v>
      </c>
      <c r="R53" s="6">
        <f t="shared" si="11"/>
        <v>-0.62999999999999545</v>
      </c>
      <c r="S53" s="12">
        <f t="shared" si="23"/>
        <v>-5.4999999999949978E-2</v>
      </c>
      <c r="T53" s="12"/>
      <c r="U53" s="3">
        <v>379.27</v>
      </c>
      <c r="V53" s="9">
        <f t="shared" si="24"/>
        <v>940</v>
      </c>
      <c r="W53" s="3">
        <f t="shared" si="55"/>
        <v>939.48</v>
      </c>
      <c r="X53" s="6">
        <f t="shared" si="12"/>
        <v>-0.51999999999998181</v>
      </c>
      <c r="Y53" s="12">
        <f t="shared" si="25"/>
        <v>-359.36</v>
      </c>
      <c r="Z53" s="2"/>
      <c r="AA53" s="10">
        <f t="shared" si="13"/>
        <v>940.63</v>
      </c>
      <c r="AB53" s="2"/>
      <c r="AD53" s="2">
        <f t="shared" si="1"/>
        <v>0</v>
      </c>
      <c r="AE53" s="2">
        <f t="shared" si="2"/>
        <v>2.9999999999972715E-2</v>
      </c>
      <c r="AF53" s="2"/>
      <c r="AG53" s="8">
        <f t="shared" si="49"/>
        <v>30</v>
      </c>
      <c r="AH53" s="17">
        <v>79.734999999999999</v>
      </c>
      <c r="AI53">
        <v>20</v>
      </c>
      <c r="AJ53">
        <f t="shared" si="50"/>
        <v>920</v>
      </c>
      <c r="AK53" s="3">
        <f t="shared" si="52"/>
        <v>919.37</v>
      </c>
      <c r="AL53" s="6">
        <f t="shared" si="16"/>
        <v>-0.62999999999999545</v>
      </c>
      <c r="AM53" s="12">
        <f t="shared" si="51"/>
        <v>-2.4999999999977263E-2</v>
      </c>
      <c r="AN53" s="17">
        <v>79.795000000000002</v>
      </c>
      <c r="AO53" s="3">
        <f t="shared" si="53"/>
        <v>919.33</v>
      </c>
      <c r="AP53" s="6">
        <f t="shared" si="8"/>
        <v>-0.66999999999995907</v>
      </c>
      <c r="AQ53" s="12">
        <f t="shared" si="9"/>
        <v>9.9999999999909051E-3</v>
      </c>
      <c r="AR53" s="2"/>
    </row>
    <row r="54" spans="1:44" x14ac:dyDescent="0.45">
      <c r="A54">
        <f t="shared" si="18"/>
        <v>48</v>
      </c>
      <c r="B54" s="3">
        <v>379.17</v>
      </c>
      <c r="C54">
        <v>20</v>
      </c>
      <c r="D54">
        <f t="shared" si="19"/>
        <v>960</v>
      </c>
      <c r="E54" s="3">
        <f t="shared" si="54"/>
        <v>959.33999999999992</v>
      </c>
      <c r="F54" s="6">
        <f t="shared" si="10"/>
        <v>-0.66000000000008185</v>
      </c>
      <c r="G54" s="12">
        <f t="shared" si="20"/>
        <v>-0.11500000000000909</v>
      </c>
      <c r="H54" s="10">
        <f t="shared" si="57"/>
        <v>960.66000000000008</v>
      </c>
      <c r="K54" s="5"/>
      <c r="M54" s="3">
        <v>379.15</v>
      </c>
      <c r="N54">
        <f t="shared" si="21"/>
        <v>48</v>
      </c>
      <c r="O54">
        <v>20</v>
      </c>
      <c r="P54">
        <f t="shared" si="22"/>
        <v>960</v>
      </c>
      <c r="Q54" s="3">
        <f t="shared" si="56"/>
        <v>959.24</v>
      </c>
      <c r="R54" s="6">
        <f t="shared" si="11"/>
        <v>-0.75999999999999091</v>
      </c>
      <c r="S54" s="12">
        <f t="shared" si="23"/>
        <v>-0.12999999999999545</v>
      </c>
      <c r="T54" s="12"/>
      <c r="U54" s="3">
        <v>399.16500000000002</v>
      </c>
      <c r="V54" s="9">
        <f t="shared" si="24"/>
        <v>960</v>
      </c>
      <c r="W54" s="3">
        <f t="shared" si="55"/>
        <v>959.375</v>
      </c>
      <c r="X54" s="6">
        <f t="shared" si="12"/>
        <v>-0.625</v>
      </c>
      <c r="Y54" s="12">
        <f t="shared" si="25"/>
        <v>-379.27000000000004</v>
      </c>
      <c r="Z54" s="2"/>
      <c r="AA54" s="10">
        <f t="shared" si="13"/>
        <v>960.76</v>
      </c>
      <c r="AB54" s="2"/>
      <c r="AD54" s="2">
        <f t="shared" si="1"/>
        <v>-0.10500000000001819</v>
      </c>
      <c r="AE54" s="2">
        <f t="shared" si="2"/>
        <v>0.10500000000001819</v>
      </c>
      <c r="AF54" s="2"/>
      <c r="AG54" s="8">
        <f t="shared" si="49"/>
        <v>29</v>
      </c>
      <c r="AH54" s="17">
        <v>59.76</v>
      </c>
      <c r="AI54">
        <v>20</v>
      </c>
      <c r="AJ54">
        <f t="shared" si="50"/>
        <v>940</v>
      </c>
      <c r="AK54" s="3">
        <f t="shared" si="52"/>
        <v>939.34500000000003</v>
      </c>
      <c r="AL54" s="6">
        <f t="shared" si="16"/>
        <v>-0.65499999999997272</v>
      </c>
      <c r="AM54" s="12">
        <f t="shared" si="51"/>
        <v>-2.4999999999977263E-2</v>
      </c>
      <c r="AN54" s="17">
        <v>59.784999999999997</v>
      </c>
      <c r="AO54" s="3">
        <f t="shared" si="53"/>
        <v>939.34</v>
      </c>
      <c r="AP54" s="6">
        <f t="shared" si="8"/>
        <v>-0.65999999999996817</v>
      </c>
      <c r="AQ54" s="12">
        <f t="shared" si="9"/>
        <v>-3.0000000000086402E-2</v>
      </c>
      <c r="AR54" s="2"/>
    </row>
    <row r="55" spans="1:44" x14ac:dyDescent="0.45">
      <c r="A55">
        <f t="shared" si="18"/>
        <v>49</v>
      </c>
      <c r="B55" s="3">
        <v>399.11500000000001</v>
      </c>
      <c r="C55">
        <v>20</v>
      </c>
      <c r="D55">
        <f t="shared" si="19"/>
        <v>980</v>
      </c>
      <c r="E55" s="3">
        <f t="shared" si="54"/>
        <v>979.28499999999997</v>
      </c>
      <c r="F55" s="6">
        <f t="shared" si="10"/>
        <v>-0.71500000000003183</v>
      </c>
      <c r="G55" s="12">
        <f t="shared" si="20"/>
        <v>-5.4999999999949978E-2</v>
      </c>
      <c r="H55" s="10">
        <f t="shared" si="57"/>
        <v>980.71500000000003</v>
      </c>
      <c r="K55" s="5"/>
      <c r="M55" s="3">
        <v>399.1</v>
      </c>
      <c r="N55">
        <f t="shared" si="21"/>
        <v>49</v>
      </c>
      <c r="O55">
        <v>20</v>
      </c>
      <c r="P55">
        <f t="shared" si="22"/>
        <v>980</v>
      </c>
      <c r="Q55" s="3">
        <f t="shared" si="56"/>
        <v>979.19</v>
      </c>
      <c r="R55" s="6">
        <f t="shared" si="11"/>
        <v>-0.80999999999994543</v>
      </c>
      <c r="S55" s="12">
        <f t="shared" si="23"/>
        <v>-4.9999999999954525E-2</v>
      </c>
      <c r="T55" s="12"/>
      <c r="U55" s="3">
        <v>419.06</v>
      </c>
      <c r="V55" s="9">
        <f t="shared" si="24"/>
        <v>980</v>
      </c>
      <c r="W55" s="3">
        <f t="shared" si="55"/>
        <v>979.27</v>
      </c>
      <c r="X55" s="6">
        <f t="shared" si="12"/>
        <v>-0.73000000000001819</v>
      </c>
      <c r="Y55" s="12">
        <f t="shared" si="25"/>
        <v>-399.16500000000002</v>
      </c>
      <c r="Z55" s="2"/>
      <c r="AA55" s="10">
        <f t="shared" si="13"/>
        <v>980.81</v>
      </c>
      <c r="AB55" s="2"/>
      <c r="AD55" s="2">
        <f t="shared" si="1"/>
        <v>-0.12999999999999545</v>
      </c>
      <c r="AE55" s="2">
        <f t="shared" si="2"/>
        <v>-1.1368683772161603E-13</v>
      </c>
      <c r="AF55" s="2"/>
      <c r="AG55" s="8">
        <f t="shared" si="49"/>
        <v>28</v>
      </c>
      <c r="AH55" s="17">
        <v>39.784999999999997</v>
      </c>
      <c r="AI55">
        <v>20</v>
      </c>
      <c r="AJ55">
        <f t="shared" si="50"/>
        <v>960</v>
      </c>
      <c r="AK55" s="3">
        <f t="shared" si="52"/>
        <v>959.32</v>
      </c>
      <c r="AL55" s="6">
        <f t="shared" si="16"/>
        <v>-0.67999999999994998</v>
      </c>
      <c r="AM55" s="12">
        <f t="shared" si="51"/>
        <v>-5.0000000000068212E-2</v>
      </c>
      <c r="AN55" s="17">
        <v>39.814999999999998</v>
      </c>
      <c r="AO55" s="3">
        <f t="shared" si="53"/>
        <v>959.31</v>
      </c>
      <c r="AP55" s="6">
        <f t="shared" si="8"/>
        <v>-0.69000000000005457</v>
      </c>
      <c r="AQ55" s="12">
        <f t="shared" si="9"/>
        <v>-3.999999999996362E-2</v>
      </c>
      <c r="AR55" s="2"/>
    </row>
    <row r="56" spans="1:44" x14ac:dyDescent="0.45">
      <c r="A56">
        <f t="shared" si="18"/>
        <v>50</v>
      </c>
      <c r="B56" s="3">
        <v>419.065</v>
      </c>
      <c r="C56">
        <v>20</v>
      </c>
      <c r="D56">
        <f t="shared" si="19"/>
        <v>1000</v>
      </c>
      <c r="E56" s="3">
        <f t="shared" si="54"/>
        <v>999.2349999999999</v>
      </c>
      <c r="F56" s="6">
        <f t="shared" si="10"/>
        <v>-0.76500000000010004</v>
      </c>
      <c r="G56" s="2">
        <f t="shared" si="20"/>
        <v>-5.0000000000068212E-2</v>
      </c>
      <c r="H56" s="10">
        <f t="shared" si="57"/>
        <v>1000.7650000000001</v>
      </c>
      <c r="K56" s="5"/>
      <c r="M56" s="3">
        <v>419.05500000000001</v>
      </c>
      <c r="N56">
        <f t="shared" si="21"/>
        <v>50</v>
      </c>
      <c r="O56">
        <v>20</v>
      </c>
      <c r="P56">
        <f t="shared" si="22"/>
        <v>1000</v>
      </c>
      <c r="Q56" s="3">
        <f t="shared" si="56"/>
        <v>999.14499999999998</v>
      </c>
      <c r="R56" s="6">
        <f t="shared" si="11"/>
        <v>-0.85500000000001819</v>
      </c>
      <c r="S56" s="12">
        <f t="shared" si="23"/>
        <v>-4.500000000007276E-2</v>
      </c>
      <c r="T56" s="12"/>
      <c r="U56" s="3">
        <v>438.995</v>
      </c>
      <c r="V56" s="9">
        <f t="shared" si="24"/>
        <v>1000</v>
      </c>
      <c r="W56" s="3">
        <f t="shared" si="55"/>
        <v>999.20500000000004</v>
      </c>
      <c r="X56" s="6">
        <f t="shared" si="12"/>
        <v>-0.79499999999995907</v>
      </c>
      <c r="Y56" s="12">
        <f t="shared" si="25"/>
        <v>-419.05999999999995</v>
      </c>
      <c r="Z56" s="2"/>
      <c r="AA56" s="10">
        <f t="shared" si="13"/>
        <v>1000.855</v>
      </c>
      <c r="AB56" s="2"/>
      <c r="AD56" s="2">
        <f t="shared" si="1"/>
        <v>-0.125</v>
      </c>
      <c r="AE56" s="2">
        <f t="shared" si="2"/>
        <v>-0.12000000000000455</v>
      </c>
      <c r="AF56" s="2"/>
      <c r="AG56" s="8">
        <f t="shared" si="49"/>
        <v>27</v>
      </c>
      <c r="AH56" s="17">
        <v>19.835000000000001</v>
      </c>
      <c r="AI56">
        <v>20</v>
      </c>
      <c r="AJ56">
        <f t="shared" si="50"/>
        <v>980</v>
      </c>
      <c r="AK56" s="3">
        <f>999.105-AH56</f>
        <v>979.27</v>
      </c>
      <c r="AL56" s="6">
        <f t="shared" si="16"/>
        <v>-0.73000000000001819</v>
      </c>
      <c r="AM56" s="12">
        <f t="shared" si="51"/>
        <v>-0.16500000000007731</v>
      </c>
      <c r="AN56" s="17">
        <v>19.855</v>
      </c>
      <c r="AO56" s="3">
        <f>999.125-AN56</f>
        <v>979.27</v>
      </c>
      <c r="AP56" s="6">
        <f t="shared" si="8"/>
        <v>-0.73000000000001819</v>
      </c>
      <c r="AQ56" s="12">
        <f t="shared" si="9"/>
        <v>-0.14499999999998181</v>
      </c>
    </row>
    <row r="57" spans="1:44" x14ac:dyDescent="0.45">
      <c r="B57" s="4"/>
      <c r="E57" s="4"/>
      <c r="F57" s="6"/>
      <c r="G57" s="2"/>
      <c r="H57" s="2"/>
      <c r="K57" s="5"/>
      <c r="M57" s="4">
        <v>19.920000000000002</v>
      </c>
      <c r="N57">
        <f t="shared" si="21"/>
        <v>51</v>
      </c>
      <c r="O57">
        <v>20</v>
      </c>
      <c r="P57">
        <f t="shared" si="22"/>
        <v>1020</v>
      </c>
      <c r="Q57" s="4">
        <f>M57+999.145</f>
        <v>1019.0649999999999</v>
      </c>
      <c r="R57" s="6">
        <f t="shared" si="11"/>
        <v>-0.93500000000005912</v>
      </c>
      <c r="S57" s="12">
        <f t="shared" si="23"/>
        <v>-8.0000000000040927E-2</v>
      </c>
      <c r="T57" s="12"/>
      <c r="U57" s="4">
        <v>19.899999999999999</v>
      </c>
      <c r="V57" s="9">
        <f t="shared" si="24"/>
        <v>1020</v>
      </c>
      <c r="W57" s="4">
        <f>U57+999.205</f>
        <v>1019.105</v>
      </c>
      <c r="X57" s="6">
        <f t="shared" si="12"/>
        <v>-0.89499999999998181</v>
      </c>
      <c r="Y57" s="12">
        <f t="shared" si="25"/>
        <v>0</v>
      </c>
      <c r="Z57" s="2"/>
      <c r="AA57" s="10">
        <f t="shared" si="13"/>
        <v>1020.9350000000001</v>
      </c>
      <c r="AB57" s="2"/>
      <c r="AD57" s="2">
        <f t="shared" si="1"/>
        <v>-3.999999999996362E-2</v>
      </c>
      <c r="AE57" s="2">
        <f t="shared" si="2"/>
        <v>6.500000000005457E-2</v>
      </c>
      <c r="AF57" s="2"/>
      <c r="AG57" s="8">
        <f t="shared" si="49"/>
        <v>26</v>
      </c>
      <c r="AH57" s="18">
        <v>519.08000000000004</v>
      </c>
      <c r="AI57">
        <v>20</v>
      </c>
      <c r="AJ57">
        <f t="shared" si="50"/>
        <v>1000</v>
      </c>
      <c r="AK57" s="2">
        <f t="shared" ref="AK57:AK80" si="58">1518.185-AH57</f>
        <v>999.1049999999999</v>
      </c>
      <c r="AL57" s="6">
        <f t="shared" si="16"/>
        <v>-0.8950000000000955</v>
      </c>
      <c r="AM57" s="12">
        <f>AK58-AK57-AI57</f>
        <v>-1.4999999999986358E-2</v>
      </c>
      <c r="AN57" s="18">
        <v>519.16499999999996</v>
      </c>
      <c r="AO57" s="2">
        <f t="shared" ref="AO57:AO81" si="59">1518.29-AN57</f>
        <v>999.125</v>
      </c>
      <c r="AP57" s="6">
        <f t="shared" si="8"/>
        <v>-0.875</v>
      </c>
      <c r="AQ57" s="12">
        <f>AO58-AO57-AI57</f>
        <v>0</v>
      </c>
    </row>
    <row r="58" spans="1:44" x14ac:dyDescent="0.45">
      <c r="B58" s="4"/>
      <c r="E58" s="4"/>
      <c r="F58" s="6"/>
      <c r="G58" s="2"/>
      <c r="H58" s="2"/>
      <c r="K58" s="5"/>
      <c r="M58" s="4">
        <v>39.92</v>
      </c>
      <c r="N58">
        <f t="shared" si="21"/>
        <v>52</v>
      </c>
      <c r="O58">
        <v>20</v>
      </c>
      <c r="P58">
        <f t="shared" si="22"/>
        <v>1040</v>
      </c>
      <c r="Q58" s="4">
        <f t="shared" ref="Q58:Q81" si="60">M58+999.145</f>
        <v>1039.0650000000001</v>
      </c>
      <c r="R58" s="6">
        <f t="shared" si="11"/>
        <v>-0.93499999999994543</v>
      </c>
      <c r="S58" s="12">
        <f t="shared" si="23"/>
        <v>1.1368683772161603E-13</v>
      </c>
      <c r="T58" s="12"/>
      <c r="U58" s="4">
        <v>39.869999999999997</v>
      </c>
      <c r="V58" s="9">
        <f t="shared" si="24"/>
        <v>1040</v>
      </c>
      <c r="W58" s="4">
        <f t="shared" ref="W58:W82" si="61">U58+999.205</f>
        <v>1039.075</v>
      </c>
      <c r="X58" s="6">
        <f t="shared" si="12"/>
        <v>-0.92499999999995453</v>
      </c>
      <c r="Y58" s="12">
        <f t="shared" si="25"/>
        <v>-19.89999999999997</v>
      </c>
      <c r="Z58" s="2"/>
      <c r="AA58" s="10">
        <f t="shared" si="13"/>
        <v>1040.9349999999999</v>
      </c>
      <c r="AB58" s="2"/>
      <c r="AD58" s="2">
        <f t="shared" si="1"/>
        <v>-2.4999999999863576E-2</v>
      </c>
      <c r="AE58" s="2">
        <f t="shared" si="2"/>
        <v>-1.0000000000104592E-2</v>
      </c>
      <c r="AF58" s="2"/>
      <c r="AG58" s="8">
        <f t="shared" si="49"/>
        <v>25</v>
      </c>
      <c r="AH58" s="18">
        <v>499.09500000000003</v>
      </c>
      <c r="AI58">
        <v>20</v>
      </c>
      <c r="AJ58">
        <f t="shared" si="50"/>
        <v>1020</v>
      </c>
      <c r="AK58" s="2">
        <f t="shared" si="58"/>
        <v>1019.0899999999999</v>
      </c>
      <c r="AL58" s="6">
        <f t="shared" si="16"/>
        <v>-0.91000000000008185</v>
      </c>
      <c r="AM58" s="12">
        <f t="shared" si="51"/>
        <v>-9.9999999999909051E-3</v>
      </c>
      <c r="AN58" s="18">
        <v>499.16500000000002</v>
      </c>
      <c r="AO58" s="2">
        <f t="shared" si="59"/>
        <v>1019.125</v>
      </c>
      <c r="AP58" s="6">
        <f t="shared" si="8"/>
        <v>-0.875</v>
      </c>
      <c r="AQ58" s="12">
        <f t="shared" si="9"/>
        <v>-9.9999999999909051E-3</v>
      </c>
    </row>
    <row r="59" spans="1:44" x14ac:dyDescent="0.45">
      <c r="B59" s="4"/>
      <c r="E59" s="4"/>
      <c r="F59" s="6"/>
      <c r="G59" s="2"/>
      <c r="H59" s="2"/>
      <c r="K59" s="5"/>
      <c r="M59" s="4">
        <v>59.935000000000002</v>
      </c>
      <c r="N59">
        <f t="shared" si="21"/>
        <v>53</v>
      </c>
      <c r="O59">
        <v>20</v>
      </c>
      <c r="P59">
        <f t="shared" si="22"/>
        <v>1060</v>
      </c>
      <c r="Q59" s="4">
        <f t="shared" si="60"/>
        <v>1059.08</v>
      </c>
      <c r="R59" s="6">
        <f t="shared" si="11"/>
        <v>-0.92000000000007276</v>
      </c>
      <c r="S59" s="12">
        <f t="shared" si="23"/>
        <v>1.4999999999872671E-2</v>
      </c>
      <c r="T59" s="12"/>
      <c r="U59" s="4">
        <v>59.884999999999998</v>
      </c>
      <c r="V59" s="9">
        <f t="shared" si="24"/>
        <v>1060</v>
      </c>
      <c r="W59" s="4">
        <f t="shared" si="61"/>
        <v>1059.0900000000001</v>
      </c>
      <c r="X59" s="6">
        <f t="shared" si="12"/>
        <v>-0.90999999999985448</v>
      </c>
      <c r="Y59" s="12">
        <f t="shared" si="25"/>
        <v>-39.869999999999898</v>
      </c>
      <c r="Z59" s="2"/>
      <c r="AA59" s="10">
        <f t="shared" si="13"/>
        <v>1060.92</v>
      </c>
      <c r="AB59" s="2"/>
      <c r="AD59" s="2">
        <f t="shared" si="1"/>
        <v>0</v>
      </c>
      <c r="AE59" s="2">
        <f t="shared" si="2"/>
        <v>-1.999999999998181E-2</v>
      </c>
      <c r="AF59" s="2"/>
      <c r="AG59" s="8">
        <f t="shared" si="49"/>
        <v>24</v>
      </c>
      <c r="AH59" s="18">
        <v>479.10500000000002</v>
      </c>
      <c r="AI59">
        <v>20</v>
      </c>
      <c r="AJ59">
        <f t="shared" si="50"/>
        <v>1040</v>
      </c>
      <c r="AK59" s="2">
        <f t="shared" si="58"/>
        <v>1039.08</v>
      </c>
      <c r="AL59" s="6">
        <f t="shared" si="16"/>
        <v>-0.92000000000007276</v>
      </c>
      <c r="AM59" s="12">
        <f t="shared" si="51"/>
        <v>-5.0000000001091394E-3</v>
      </c>
      <c r="AN59" s="18">
        <v>479.17500000000001</v>
      </c>
      <c r="AO59" s="2">
        <f t="shared" si="59"/>
        <v>1039.115</v>
      </c>
      <c r="AP59" s="6">
        <f t="shared" si="8"/>
        <v>-0.88499999999999091</v>
      </c>
      <c r="AQ59" s="12">
        <f t="shared" si="9"/>
        <v>-5.0000000001091394E-3</v>
      </c>
    </row>
    <row r="60" spans="1:44" x14ac:dyDescent="0.45">
      <c r="B60" s="4"/>
      <c r="E60" s="4"/>
      <c r="F60" s="6"/>
      <c r="G60" s="2"/>
      <c r="H60" s="2"/>
      <c r="K60" s="5"/>
      <c r="M60" s="4">
        <v>79.959999999999994</v>
      </c>
      <c r="N60">
        <f t="shared" si="21"/>
        <v>54</v>
      </c>
      <c r="O60">
        <v>20</v>
      </c>
      <c r="P60">
        <f t="shared" si="22"/>
        <v>1080</v>
      </c>
      <c r="Q60" s="4">
        <f t="shared" si="60"/>
        <v>1079.105</v>
      </c>
      <c r="R60" s="6">
        <f t="shared" si="11"/>
        <v>-0.89499999999998181</v>
      </c>
      <c r="S60" s="12">
        <f t="shared" si="23"/>
        <v>2.5000000000090949E-2</v>
      </c>
      <c r="T60" s="12"/>
      <c r="U60" s="4">
        <v>79.924999999999997</v>
      </c>
      <c r="V60" s="9">
        <f t="shared" si="24"/>
        <v>1080</v>
      </c>
      <c r="W60" s="4">
        <f t="shared" si="61"/>
        <v>1079.1300000000001</v>
      </c>
      <c r="X60" s="6">
        <f t="shared" si="12"/>
        <v>-0.86999999999989086</v>
      </c>
      <c r="Y60" s="12">
        <f t="shared" si="25"/>
        <v>-59.885000000000034</v>
      </c>
      <c r="Z60" s="2"/>
      <c r="AA60" s="10">
        <f t="shared" si="13"/>
        <v>1080.895</v>
      </c>
      <c r="AB60" s="2"/>
      <c r="AD60" s="2">
        <f t="shared" si="1"/>
        <v>3.0000000000200089E-2</v>
      </c>
      <c r="AE60" s="2">
        <f t="shared" si="2"/>
        <v>-1.4999999999872671E-2</v>
      </c>
      <c r="AF60" s="2"/>
      <c r="AG60" s="8">
        <f t="shared" si="49"/>
        <v>23</v>
      </c>
      <c r="AH60" s="18">
        <v>459.11</v>
      </c>
      <c r="AI60">
        <v>20</v>
      </c>
      <c r="AJ60">
        <f t="shared" si="50"/>
        <v>1060</v>
      </c>
      <c r="AK60" s="2">
        <f t="shared" si="58"/>
        <v>1059.0749999999998</v>
      </c>
      <c r="AL60" s="6">
        <f t="shared" si="16"/>
        <v>-0.9250000000001819</v>
      </c>
      <c r="AM60" s="12">
        <f t="shared" si="51"/>
        <v>1.0000000000218279E-2</v>
      </c>
      <c r="AN60" s="18">
        <v>459.18</v>
      </c>
      <c r="AO60" s="2">
        <f t="shared" si="59"/>
        <v>1059.1099999999999</v>
      </c>
      <c r="AP60" s="6">
        <f t="shared" si="8"/>
        <v>-0.89000000000010004</v>
      </c>
      <c r="AQ60" s="12">
        <f t="shared" si="9"/>
        <v>3.5000000000081855E-2</v>
      </c>
    </row>
    <row r="61" spans="1:44" x14ac:dyDescent="0.45">
      <c r="B61" s="4"/>
      <c r="E61" s="4"/>
      <c r="F61" s="6"/>
      <c r="G61" s="2"/>
      <c r="H61" s="2"/>
      <c r="K61" s="5"/>
      <c r="M61" s="4">
        <v>99.95</v>
      </c>
      <c r="N61">
        <f t="shared" si="21"/>
        <v>55</v>
      </c>
      <c r="O61">
        <v>20</v>
      </c>
      <c r="P61">
        <f t="shared" si="22"/>
        <v>1100</v>
      </c>
      <c r="Q61" s="4">
        <f t="shared" si="60"/>
        <v>1099.095</v>
      </c>
      <c r="R61" s="6">
        <f t="shared" si="11"/>
        <v>-0.90499999999997272</v>
      </c>
      <c r="S61" s="12">
        <f t="shared" si="23"/>
        <v>-9.9999999999909051E-3</v>
      </c>
      <c r="T61" s="12"/>
      <c r="U61" s="4">
        <v>99.87</v>
      </c>
      <c r="V61" s="9">
        <f t="shared" si="24"/>
        <v>1100</v>
      </c>
      <c r="W61" s="4">
        <f t="shared" si="61"/>
        <v>1099.075</v>
      </c>
      <c r="X61" s="6">
        <f t="shared" si="12"/>
        <v>-0.92499999999995453</v>
      </c>
      <c r="Y61" s="12">
        <f t="shared" si="25"/>
        <v>-79.925000000000068</v>
      </c>
      <c r="Z61" s="2"/>
      <c r="AA61" s="10">
        <f t="shared" si="13"/>
        <v>1100.905</v>
      </c>
      <c r="AB61" s="2"/>
      <c r="AD61" s="2">
        <f t="shared" si="1"/>
        <v>9.9999999999909051E-3</v>
      </c>
      <c r="AE61" s="2">
        <f t="shared" si="2"/>
        <v>2.4999999999863576E-2</v>
      </c>
      <c r="AF61" s="2"/>
      <c r="AG61" s="8">
        <f t="shared" si="49"/>
        <v>22</v>
      </c>
      <c r="AH61" s="18">
        <v>439.1</v>
      </c>
      <c r="AI61">
        <v>20</v>
      </c>
      <c r="AJ61">
        <f t="shared" si="50"/>
        <v>1080</v>
      </c>
      <c r="AK61" s="2">
        <f t="shared" si="58"/>
        <v>1079.085</v>
      </c>
      <c r="AL61" s="6">
        <f t="shared" si="16"/>
        <v>-0.91499999999996362</v>
      </c>
      <c r="AM61" s="12">
        <f t="shared" si="51"/>
        <v>1.4999999999872671E-2</v>
      </c>
      <c r="AN61" s="18">
        <v>439.14499999999998</v>
      </c>
      <c r="AO61" s="2">
        <f t="shared" si="59"/>
        <v>1079.145</v>
      </c>
      <c r="AP61" s="6">
        <f t="shared" si="8"/>
        <v>-0.85500000000001819</v>
      </c>
      <c r="AQ61" s="12">
        <f t="shared" si="9"/>
        <v>3.999999999996362E-2</v>
      </c>
    </row>
    <row r="62" spans="1:44" x14ac:dyDescent="0.45">
      <c r="B62" s="4"/>
      <c r="E62" s="4"/>
      <c r="F62" s="6"/>
      <c r="G62" s="2"/>
      <c r="H62" s="2"/>
      <c r="K62" s="5"/>
      <c r="M62" s="4">
        <v>119.88</v>
      </c>
      <c r="N62">
        <f t="shared" si="21"/>
        <v>56</v>
      </c>
      <c r="O62">
        <v>20</v>
      </c>
      <c r="P62">
        <f t="shared" si="22"/>
        <v>1120</v>
      </c>
      <c r="Q62" s="4">
        <f t="shared" si="60"/>
        <v>1119.0250000000001</v>
      </c>
      <c r="R62" s="6">
        <f t="shared" si="11"/>
        <v>-0.97499999999990905</v>
      </c>
      <c r="S62" s="12">
        <f t="shared" si="23"/>
        <v>-6.9999999999936335E-2</v>
      </c>
      <c r="T62" s="12"/>
      <c r="U62" s="4">
        <v>119.80500000000001</v>
      </c>
      <c r="V62" s="9">
        <f t="shared" si="24"/>
        <v>1120</v>
      </c>
      <c r="W62" s="4">
        <f t="shared" si="61"/>
        <v>1119.01</v>
      </c>
      <c r="X62" s="6">
        <f t="shared" si="12"/>
        <v>-0.99000000000000909</v>
      </c>
      <c r="Y62" s="12">
        <f t="shared" si="25"/>
        <v>-99.870000000000061</v>
      </c>
      <c r="Z62" s="2"/>
      <c r="AA62" s="10">
        <f t="shared" si="13"/>
        <v>1120.9749999999999</v>
      </c>
      <c r="AB62" s="2"/>
      <c r="AD62" s="2">
        <f t="shared" si="1"/>
        <v>-7.4999999999818101E-2</v>
      </c>
      <c r="AE62" s="2">
        <f t="shared" si="2"/>
        <v>2.9999999999972715E-2</v>
      </c>
      <c r="AF62" s="2"/>
      <c r="AG62" s="8">
        <f t="shared" si="49"/>
        <v>21</v>
      </c>
      <c r="AH62" s="18">
        <v>419.08499999999998</v>
      </c>
      <c r="AI62">
        <v>20</v>
      </c>
      <c r="AJ62">
        <f t="shared" si="50"/>
        <v>1100</v>
      </c>
      <c r="AK62" s="2">
        <f t="shared" si="58"/>
        <v>1099.0999999999999</v>
      </c>
      <c r="AL62" s="6">
        <f t="shared" si="16"/>
        <v>-0.90000000000009095</v>
      </c>
      <c r="AM62" s="12">
        <f t="shared" si="51"/>
        <v>-3.999999999996362E-2</v>
      </c>
      <c r="AN62" s="18">
        <v>419.10500000000002</v>
      </c>
      <c r="AO62" s="2">
        <f t="shared" si="59"/>
        <v>1099.1849999999999</v>
      </c>
      <c r="AP62" s="6">
        <f t="shared" si="8"/>
        <v>-0.81500000000005457</v>
      </c>
      <c r="AQ62" s="12">
        <f t="shared" si="9"/>
        <v>-2.9999999999972715E-2</v>
      </c>
    </row>
    <row r="63" spans="1:44" x14ac:dyDescent="0.45">
      <c r="B63" s="4"/>
      <c r="E63" s="4"/>
      <c r="F63" s="6"/>
      <c r="G63" s="2"/>
      <c r="H63" s="2"/>
      <c r="K63" s="5"/>
      <c r="M63" s="4">
        <v>139.81</v>
      </c>
      <c r="N63">
        <f t="shared" si="21"/>
        <v>57</v>
      </c>
      <c r="O63">
        <v>20</v>
      </c>
      <c r="P63">
        <f t="shared" si="22"/>
        <v>1140</v>
      </c>
      <c r="Q63" s="4">
        <f t="shared" si="60"/>
        <v>1138.9549999999999</v>
      </c>
      <c r="R63" s="6">
        <f t="shared" si="11"/>
        <v>-1.0450000000000728</v>
      </c>
      <c r="S63" s="12">
        <f t="shared" si="23"/>
        <v>-7.0000000000163709E-2</v>
      </c>
      <c r="T63" s="12"/>
      <c r="U63" s="4">
        <v>139.74</v>
      </c>
      <c r="V63" s="9">
        <f t="shared" si="24"/>
        <v>1140</v>
      </c>
      <c r="W63" s="4">
        <f t="shared" si="61"/>
        <v>1138.9450000000002</v>
      </c>
      <c r="X63" s="6">
        <f t="shared" si="12"/>
        <v>-1.0549999999998363</v>
      </c>
      <c r="Y63" s="12">
        <f t="shared" si="25"/>
        <v>-119.80499999999984</v>
      </c>
      <c r="Z63" s="2"/>
      <c r="AA63" s="10">
        <f t="shared" si="13"/>
        <v>1141.0450000000001</v>
      </c>
      <c r="AB63" s="2"/>
      <c r="AD63" s="2">
        <f t="shared" si="1"/>
        <v>-0.10500000000001819</v>
      </c>
      <c r="AE63" s="2">
        <f t="shared" si="2"/>
        <v>-4.9999999998817657E-3</v>
      </c>
      <c r="AF63" s="2"/>
      <c r="AG63" s="8">
        <f t="shared" si="49"/>
        <v>20</v>
      </c>
      <c r="AH63" s="18">
        <v>399.125</v>
      </c>
      <c r="AI63">
        <v>20</v>
      </c>
      <c r="AJ63">
        <f t="shared" si="50"/>
        <v>1120</v>
      </c>
      <c r="AK63" s="2">
        <f t="shared" si="58"/>
        <v>1119.06</v>
      </c>
      <c r="AL63" s="6">
        <f t="shared" si="16"/>
        <v>-0.94000000000005457</v>
      </c>
      <c r="AM63" s="12">
        <f t="shared" si="51"/>
        <v>-7.5000000000045475E-2</v>
      </c>
      <c r="AN63" s="18">
        <v>399.13499999999999</v>
      </c>
      <c r="AO63" s="2">
        <f t="shared" si="59"/>
        <v>1119.155</v>
      </c>
      <c r="AP63" s="6">
        <f t="shared" si="8"/>
        <v>-0.84500000000002728</v>
      </c>
      <c r="AQ63" s="12">
        <f t="shared" si="9"/>
        <v>-7.5000000000045475E-2</v>
      </c>
    </row>
    <row r="64" spans="1:44" x14ac:dyDescent="0.45">
      <c r="B64" s="4"/>
      <c r="E64" s="4"/>
      <c r="F64" s="6"/>
      <c r="G64" s="2"/>
      <c r="H64" s="2"/>
      <c r="K64" s="5"/>
      <c r="M64" s="4">
        <v>159.77500000000001</v>
      </c>
      <c r="N64">
        <f t="shared" si="21"/>
        <v>58</v>
      </c>
      <c r="O64">
        <v>20</v>
      </c>
      <c r="P64">
        <f t="shared" si="22"/>
        <v>1160</v>
      </c>
      <c r="Q64" s="4">
        <f t="shared" si="60"/>
        <v>1158.92</v>
      </c>
      <c r="R64" s="6">
        <f t="shared" si="11"/>
        <v>-1.0799999999999272</v>
      </c>
      <c r="S64" s="12">
        <f t="shared" si="23"/>
        <v>-3.4999999999854481E-2</v>
      </c>
      <c r="T64" s="12"/>
      <c r="U64" s="4">
        <v>159.69499999999999</v>
      </c>
      <c r="V64" s="9">
        <f t="shared" si="24"/>
        <v>1160</v>
      </c>
      <c r="W64" s="4">
        <f t="shared" si="61"/>
        <v>1158.9000000000001</v>
      </c>
      <c r="X64" s="6">
        <f t="shared" si="12"/>
        <v>-1.0999999999999091</v>
      </c>
      <c r="Y64" s="12">
        <f t="shared" si="25"/>
        <v>-139.74000000000007</v>
      </c>
      <c r="Z64" s="2"/>
      <c r="AA64" s="10">
        <f t="shared" si="13"/>
        <v>1161.08</v>
      </c>
      <c r="AB64" s="2"/>
      <c r="AD64" s="2">
        <f t="shared" si="1"/>
        <v>-6.4999999999827196E-2</v>
      </c>
      <c r="AE64" s="2">
        <f t="shared" si="2"/>
        <v>1.999999999998181E-2</v>
      </c>
      <c r="AF64" s="2"/>
      <c r="AG64" s="8">
        <f t="shared" si="49"/>
        <v>19</v>
      </c>
      <c r="AH64" s="18">
        <v>379.2</v>
      </c>
      <c r="AI64">
        <v>20</v>
      </c>
      <c r="AJ64">
        <f t="shared" si="50"/>
        <v>1140</v>
      </c>
      <c r="AK64" s="2">
        <f t="shared" si="58"/>
        <v>1138.9849999999999</v>
      </c>
      <c r="AL64" s="6">
        <f t="shared" si="16"/>
        <v>-1.0150000000001</v>
      </c>
      <c r="AM64" s="12">
        <f t="shared" si="51"/>
        <v>-1.4999999999872671E-2</v>
      </c>
      <c r="AN64" s="18">
        <v>379.21</v>
      </c>
      <c r="AO64" s="2">
        <f t="shared" si="59"/>
        <v>1139.08</v>
      </c>
      <c r="AP64" s="6">
        <f t="shared" si="8"/>
        <v>-0.92000000000007276</v>
      </c>
      <c r="AQ64" s="12">
        <f t="shared" si="9"/>
        <v>-9.9999999999909051E-3</v>
      </c>
    </row>
    <row r="65" spans="2:43" x14ac:dyDescent="0.45">
      <c r="B65" s="4"/>
      <c r="E65" s="4"/>
      <c r="F65" s="6"/>
      <c r="G65" s="2"/>
      <c r="H65" s="2"/>
      <c r="K65" s="5"/>
      <c r="M65" s="4">
        <v>179.73</v>
      </c>
      <c r="N65">
        <f t="shared" si="21"/>
        <v>59</v>
      </c>
      <c r="O65">
        <v>20</v>
      </c>
      <c r="P65">
        <f t="shared" si="22"/>
        <v>1180</v>
      </c>
      <c r="Q65" s="4">
        <f t="shared" si="60"/>
        <v>1178.875</v>
      </c>
      <c r="R65" s="6">
        <f t="shared" si="11"/>
        <v>-1.125</v>
      </c>
      <c r="S65" s="12">
        <f t="shared" si="23"/>
        <v>-4.500000000007276E-2</v>
      </c>
      <c r="T65" s="12"/>
      <c r="U65" s="4">
        <v>179.68</v>
      </c>
      <c r="V65" s="9">
        <f t="shared" si="24"/>
        <v>1180</v>
      </c>
      <c r="W65" s="4">
        <f t="shared" si="61"/>
        <v>1178.885</v>
      </c>
      <c r="X65" s="6">
        <f t="shared" si="12"/>
        <v>-1.1150000000000091</v>
      </c>
      <c r="Y65" s="12">
        <f t="shared" si="25"/>
        <v>-159.69500000000011</v>
      </c>
      <c r="Z65" s="2"/>
      <c r="AA65" s="10">
        <f t="shared" si="13"/>
        <v>1181.125</v>
      </c>
      <c r="AB65" s="2"/>
      <c r="AD65" s="2">
        <f t="shared" si="1"/>
        <v>-9.5000000000027285E-2</v>
      </c>
      <c r="AE65" s="2">
        <f t="shared" si="2"/>
        <v>-4.9999999998817657E-3</v>
      </c>
      <c r="AF65" s="2"/>
      <c r="AG65" s="8">
        <f t="shared" si="49"/>
        <v>18</v>
      </c>
      <c r="AH65" s="18">
        <v>359.21499999999997</v>
      </c>
      <c r="AI65">
        <v>20</v>
      </c>
      <c r="AJ65">
        <f t="shared" si="50"/>
        <v>1160</v>
      </c>
      <c r="AK65" s="2">
        <f t="shared" si="58"/>
        <v>1158.97</v>
      </c>
      <c r="AL65" s="6">
        <f t="shared" si="16"/>
        <v>-1.0299999999999727</v>
      </c>
      <c r="AM65" s="12">
        <f t="shared" si="51"/>
        <v>-4.9999999999954525E-2</v>
      </c>
      <c r="AN65" s="18">
        <v>359.22</v>
      </c>
      <c r="AO65" s="2">
        <f t="shared" si="59"/>
        <v>1159.07</v>
      </c>
      <c r="AP65" s="6">
        <f t="shared" si="8"/>
        <v>-0.93000000000006366</v>
      </c>
      <c r="AQ65" s="12">
        <f t="shared" si="9"/>
        <v>-3.5000000000081855E-2</v>
      </c>
    </row>
    <row r="66" spans="2:43" x14ac:dyDescent="0.45">
      <c r="B66" s="4"/>
      <c r="E66" s="4"/>
      <c r="F66" s="6"/>
      <c r="G66" s="2"/>
      <c r="H66" s="2"/>
      <c r="K66" s="5"/>
      <c r="M66" s="4">
        <v>199.74</v>
      </c>
      <c r="N66">
        <f t="shared" si="21"/>
        <v>60</v>
      </c>
      <c r="O66">
        <v>20</v>
      </c>
      <c r="P66">
        <f t="shared" si="22"/>
        <v>1200</v>
      </c>
      <c r="Q66" s="4">
        <f t="shared" si="60"/>
        <v>1198.885</v>
      </c>
      <c r="R66" s="6">
        <f t="shared" si="11"/>
        <v>-1.1150000000000091</v>
      </c>
      <c r="S66" s="12">
        <f t="shared" si="23"/>
        <v>9.9999999999909051E-3</v>
      </c>
      <c r="T66" s="12"/>
      <c r="U66" s="4">
        <v>199.7</v>
      </c>
      <c r="V66" s="9">
        <f t="shared" si="24"/>
        <v>1200</v>
      </c>
      <c r="W66" s="4">
        <f t="shared" si="61"/>
        <v>1198.905</v>
      </c>
      <c r="X66" s="6">
        <f t="shared" si="12"/>
        <v>-1.0950000000000273</v>
      </c>
      <c r="Y66" s="12">
        <f t="shared" si="25"/>
        <v>-179.68</v>
      </c>
      <c r="Z66" s="2"/>
      <c r="AA66" s="10">
        <f t="shared" si="13"/>
        <v>1201.115</v>
      </c>
      <c r="AB66" s="2"/>
      <c r="AD66" s="2">
        <f t="shared" si="1"/>
        <v>-3.5000000000081855E-2</v>
      </c>
      <c r="AE66" s="2">
        <f t="shared" si="2"/>
        <v>9.9999999999909051E-3</v>
      </c>
      <c r="AF66" s="2"/>
      <c r="AG66" s="8">
        <f t="shared" si="49"/>
        <v>17</v>
      </c>
      <c r="AH66" s="18">
        <v>339.26499999999999</v>
      </c>
      <c r="AI66">
        <v>20</v>
      </c>
      <c r="AJ66">
        <f t="shared" si="50"/>
        <v>1180</v>
      </c>
      <c r="AK66" s="2">
        <f t="shared" si="58"/>
        <v>1178.92</v>
      </c>
      <c r="AL66" s="6">
        <f t="shared" si="16"/>
        <v>-1.0799999999999272</v>
      </c>
      <c r="AM66" s="12">
        <f t="shared" si="51"/>
        <v>1.999999999998181E-2</v>
      </c>
      <c r="AN66" s="18">
        <v>339.255</v>
      </c>
      <c r="AO66" s="2">
        <f t="shared" si="59"/>
        <v>1179.0349999999999</v>
      </c>
      <c r="AP66" s="6">
        <f t="shared" si="8"/>
        <v>-0.96500000000014552</v>
      </c>
      <c r="AQ66" s="12">
        <f t="shared" si="9"/>
        <v>3.0000000000200089E-2</v>
      </c>
    </row>
    <row r="67" spans="2:43" x14ac:dyDescent="0.45">
      <c r="B67" s="4"/>
      <c r="E67" s="4"/>
      <c r="F67" s="6"/>
      <c r="G67" s="2"/>
      <c r="H67" s="2"/>
      <c r="K67" s="5"/>
      <c r="M67" s="4">
        <v>219.73</v>
      </c>
      <c r="N67">
        <f t="shared" si="21"/>
        <v>61</v>
      </c>
      <c r="O67">
        <v>20</v>
      </c>
      <c r="P67">
        <f t="shared" si="22"/>
        <v>1220</v>
      </c>
      <c r="Q67" s="4">
        <f t="shared" si="60"/>
        <v>1218.875</v>
      </c>
      <c r="R67" s="6">
        <f t="shared" si="11"/>
        <v>-1.125</v>
      </c>
      <c r="S67" s="12">
        <f t="shared" si="23"/>
        <v>-9.9999999999909051E-3</v>
      </c>
      <c r="T67" s="12"/>
      <c r="U67" s="4">
        <v>219.715</v>
      </c>
      <c r="V67" s="9">
        <f t="shared" si="24"/>
        <v>1220</v>
      </c>
      <c r="W67" s="4">
        <f t="shared" si="61"/>
        <v>1218.92</v>
      </c>
      <c r="X67" s="6">
        <f t="shared" si="12"/>
        <v>-1.0799999999999272</v>
      </c>
      <c r="Y67" s="12">
        <f t="shared" si="25"/>
        <v>-199.6999999999999</v>
      </c>
      <c r="Z67" s="2"/>
      <c r="AA67" s="10">
        <f t="shared" si="13"/>
        <v>1221.125</v>
      </c>
      <c r="AB67" s="2"/>
      <c r="AD67" s="2">
        <f t="shared" si="1"/>
        <v>-6.500000000005457E-2</v>
      </c>
      <c r="AE67" s="2">
        <f t="shared" si="2"/>
        <v>1.4999999999872671E-2</v>
      </c>
      <c r="AF67" s="2"/>
      <c r="AG67" s="8">
        <f t="shared" si="49"/>
        <v>16</v>
      </c>
      <c r="AH67" s="18">
        <v>319.245</v>
      </c>
      <c r="AI67">
        <v>20</v>
      </c>
      <c r="AJ67">
        <f t="shared" si="50"/>
        <v>1200</v>
      </c>
      <c r="AK67" s="2">
        <f t="shared" si="58"/>
        <v>1198.94</v>
      </c>
      <c r="AL67" s="6">
        <f t="shared" si="16"/>
        <v>-1.0599999999999454</v>
      </c>
      <c r="AM67" s="12">
        <f t="shared" si="51"/>
        <v>4.9999999998817657E-3</v>
      </c>
      <c r="AN67" s="18">
        <v>319.22500000000002</v>
      </c>
      <c r="AO67" s="2">
        <f t="shared" si="59"/>
        <v>1199.0650000000001</v>
      </c>
      <c r="AP67" s="6">
        <f t="shared" si="8"/>
        <v>-0.93499999999994543</v>
      </c>
      <c r="AQ67" s="12">
        <f t="shared" si="9"/>
        <v>1.999999999998181E-2</v>
      </c>
    </row>
    <row r="68" spans="2:43" x14ac:dyDescent="0.45">
      <c r="B68" s="4"/>
      <c r="E68" s="4"/>
      <c r="F68" s="6"/>
      <c r="G68" s="2"/>
      <c r="H68" s="2"/>
      <c r="K68" s="5"/>
      <c r="M68" s="4">
        <v>239.88</v>
      </c>
      <c r="N68">
        <f t="shared" si="21"/>
        <v>62</v>
      </c>
      <c r="O68">
        <v>20</v>
      </c>
      <c r="P68">
        <f t="shared" si="22"/>
        <v>1240</v>
      </c>
      <c r="Q68" s="4">
        <f t="shared" si="60"/>
        <v>1239.0250000000001</v>
      </c>
      <c r="R68" s="6">
        <f t="shared" si="11"/>
        <v>-0.97499999999990905</v>
      </c>
      <c r="S68" s="12">
        <f t="shared" si="23"/>
        <v>0.15000000000009095</v>
      </c>
      <c r="T68" s="12"/>
      <c r="U68" s="4">
        <v>239.79499999999999</v>
      </c>
      <c r="V68" s="9">
        <f t="shared" si="24"/>
        <v>1240</v>
      </c>
      <c r="W68" s="4">
        <f t="shared" si="61"/>
        <v>1239</v>
      </c>
      <c r="X68" s="6">
        <f t="shared" si="12"/>
        <v>-1</v>
      </c>
      <c r="Y68" s="12">
        <f t="shared" si="25"/>
        <v>-219.71500000000006</v>
      </c>
      <c r="Z68" s="2"/>
      <c r="AA68" s="10">
        <f t="shared" si="13"/>
        <v>1240.9749999999999</v>
      </c>
      <c r="AB68" s="2"/>
      <c r="AD68" s="2">
        <f t="shared" si="1"/>
        <v>8.0000000000154614E-2</v>
      </c>
      <c r="AE68" s="2">
        <f t="shared" si="2"/>
        <v>-0.125</v>
      </c>
      <c r="AF68" s="2"/>
      <c r="AG68" s="8">
        <f t="shared" si="49"/>
        <v>15</v>
      </c>
      <c r="AH68" s="18">
        <v>299.24</v>
      </c>
      <c r="AI68">
        <v>20</v>
      </c>
      <c r="AJ68">
        <f t="shared" si="50"/>
        <v>1220</v>
      </c>
      <c r="AK68" s="2">
        <f t="shared" si="58"/>
        <v>1218.9449999999999</v>
      </c>
      <c r="AL68" s="6">
        <f t="shared" si="16"/>
        <v>-1.0550000000000637</v>
      </c>
      <c r="AM68" s="12">
        <f t="shared" si="51"/>
        <v>2.5000000000090949E-2</v>
      </c>
      <c r="AN68" s="18">
        <v>299.20499999999998</v>
      </c>
      <c r="AO68" s="2">
        <f t="shared" si="59"/>
        <v>1219.085</v>
      </c>
      <c r="AP68" s="6">
        <f t="shared" si="8"/>
        <v>-0.91499999999996362</v>
      </c>
      <c r="AQ68" s="12">
        <f t="shared" si="9"/>
        <v>-9.9999999999909051E-3</v>
      </c>
    </row>
    <row r="69" spans="2:43" x14ac:dyDescent="0.45">
      <c r="B69" s="4"/>
      <c r="E69" s="4"/>
      <c r="F69" s="6"/>
      <c r="G69" s="2"/>
      <c r="H69" s="2"/>
      <c r="K69" s="5"/>
      <c r="M69" s="4">
        <v>259.77999999999997</v>
      </c>
      <c r="N69">
        <f t="shared" si="21"/>
        <v>63</v>
      </c>
      <c r="O69">
        <v>20</v>
      </c>
      <c r="P69">
        <f t="shared" si="22"/>
        <v>1260</v>
      </c>
      <c r="Q69" s="4">
        <f t="shared" si="60"/>
        <v>1258.925</v>
      </c>
      <c r="R69" s="6">
        <f t="shared" si="11"/>
        <v>-1.0750000000000455</v>
      </c>
      <c r="S69" s="12">
        <f t="shared" si="23"/>
        <v>-0.10000000000013642</v>
      </c>
      <c r="T69" s="12"/>
      <c r="U69" s="4">
        <v>259.76499999999999</v>
      </c>
      <c r="V69" s="9">
        <f t="shared" si="24"/>
        <v>1260</v>
      </c>
      <c r="W69" s="4">
        <f t="shared" si="61"/>
        <v>1258.97</v>
      </c>
      <c r="X69" s="6">
        <f t="shared" si="12"/>
        <v>-1.0299999999999727</v>
      </c>
      <c r="Y69" s="12">
        <f t="shared" si="25"/>
        <v>-239.79499999999996</v>
      </c>
      <c r="Z69" s="2"/>
      <c r="AA69" s="10">
        <f t="shared" si="13"/>
        <v>1261.075</v>
      </c>
      <c r="AB69" s="2"/>
      <c r="AD69" s="2">
        <f t="shared" si="1"/>
        <v>-4.500000000007276E-2</v>
      </c>
      <c r="AE69" s="2">
        <f t="shared" si="2"/>
        <v>0.10000000000013642</v>
      </c>
      <c r="AF69" s="2"/>
      <c r="AG69" s="8">
        <f t="shared" si="49"/>
        <v>14</v>
      </c>
      <c r="AH69" s="18">
        <v>279.21499999999997</v>
      </c>
      <c r="AI69">
        <v>20</v>
      </c>
      <c r="AJ69">
        <f t="shared" si="50"/>
        <v>1240</v>
      </c>
      <c r="AK69" s="2">
        <f t="shared" si="58"/>
        <v>1238.97</v>
      </c>
      <c r="AL69" s="6">
        <f t="shared" si="16"/>
        <v>-1.0299999999999727</v>
      </c>
      <c r="AM69" s="12">
        <f t="shared" si="51"/>
        <v>0</v>
      </c>
      <c r="AN69" s="18">
        <v>279.21499999999997</v>
      </c>
      <c r="AO69" s="2">
        <f t="shared" si="59"/>
        <v>1239.075</v>
      </c>
      <c r="AP69" s="6">
        <f t="shared" si="8"/>
        <v>-0.92499999999995453</v>
      </c>
      <c r="AQ69" s="12">
        <f t="shared" si="9"/>
        <v>-2.5000000000090949E-2</v>
      </c>
    </row>
    <row r="70" spans="2:43" x14ac:dyDescent="0.45">
      <c r="B70" s="4"/>
      <c r="E70" s="4"/>
      <c r="F70" s="6"/>
      <c r="G70" s="2"/>
      <c r="H70" s="2"/>
      <c r="K70" s="5"/>
      <c r="M70" s="4">
        <v>279.72500000000002</v>
      </c>
      <c r="N70">
        <f t="shared" si="21"/>
        <v>64</v>
      </c>
      <c r="O70">
        <v>20</v>
      </c>
      <c r="P70">
        <f t="shared" si="22"/>
        <v>1280</v>
      </c>
      <c r="Q70" s="4">
        <f t="shared" si="60"/>
        <v>1278.8699999999999</v>
      </c>
      <c r="R70" s="6">
        <f t="shared" si="11"/>
        <v>-1.1300000000001091</v>
      </c>
      <c r="S70" s="12">
        <f t="shared" si="23"/>
        <v>-5.5000000000063665E-2</v>
      </c>
      <c r="T70" s="12"/>
      <c r="U70" s="4">
        <v>279.73500000000001</v>
      </c>
      <c r="V70" s="9">
        <f t="shared" si="24"/>
        <v>1280</v>
      </c>
      <c r="W70" s="4">
        <f t="shared" si="61"/>
        <v>1278.94</v>
      </c>
      <c r="X70" s="6">
        <f t="shared" si="12"/>
        <v>-1.0599999999999454</v>
      </c>
      <c r="Y70" s="12">
        <f t="shared" si="25"/>
        <v>-259.76499999999999</v>
      </c>
      <c r="Z70" s="2"/>
      <c r="AA70" s="10">
        <f t="shared" si="13"/>
        <v>1281.1300000000001</v>
      </c>
      <c r="AB70" s="2"/>
      <c r="AD70" s="2">
        <f t="shared" si="1"/>
        <v>-0.10000000000013642</v>
      </c>
      <c r="AE70" s="2">
        <f t="shared" si="2"/>
        <v>0</v>
      </c>
      <c r="AF70" s="2"/>
      <c r="AG70" s="8">
        <f t="shared" si="49"/>
        <v>13</v>
      </c>
      <c r="AH70" s="18">
        <v>259.21499999999997</v>
      </c>
      <c r="AI70">
        <v>20</v>
      </c>
      <c r="AJ70">
        <f t="shared" si="50"/>
        <v>1260</v>
      </c>
      <c r="AK70" s="2">
        <f t="shared" si="58"/>
        <v>1258.97</v>
      </c>
      <c r="AL70" s="6">
        <f>AK70-AJ70</f>
        <v>-1.0299999999999727</v>
      </c>
      <c r="AM70" s="12">
        <f t="shared" si="51"/>
        <v>-5.5000000000063665E-2</v>
      </c>
      <c r="AN70" s="18">
        <v>259.24</v>
      </c>
      <c r="AO70" s="2">
        <f t="shared" si="59"/>
        <v>1259.05</v>
      </c>
      <c r="AP70" s="6">
        <f t="shared" si="8"/>
        <v>-0.95000000000004547</v>
      </c>
      <c r="AQ70" s="12">
        <f t="shared" si="9"/>
        <v>-3.999999999996362E-2</v>
      </c>
    </row>
    <row r="71" spans="2:43" x14ac:dyDescent="0.45">
      <c r="B71" s="4"/>
      <c r="E71" s="4"/>
      <c r="F71" s="6"/>
      <c r="G71" s="2"/>
      <c r="H71" s="2"/>
      <c r="K71" s="5"/>
      <c r="M71" s="4">
        <v>299.57</v>
      </c>
      <c r="N71">
        <f t="shared" si="21"/>
        <v>65</v>
      </c>
      <c r="O71">
        <v>20</v>
      </c>
      <c r="P71">
        <f t="shared" si="22"/>
        <v>1300</v>
      </c>
      <c r="Q71" s="4">
        <f t="shared" si="60"/>
        <v>1298.7149999999999</v>
      </c>
      <c r="R71" s="6">
        <f t="shared" si="11"/>
        <v>-1.2850000000000819</v>
      </c>
      <c r="S71" s="12">
        <f t="shared" si="23"/>
        <v>-0.15499999999997272</v>
      </c>
      <c r="T71" s="12"/>
      <c r="U71" s="4">
        <v>299.625</v>
      </c>
      <c r="V71" s="9">
        <f t="shared" si="24"/>
        <v>1300</v>
      </c>
      <c r="W71" s="4">
        <f t="shared" si="61"/>
        <v>1298.83</v>
      </c>
      <c r="X71" s="6">
        <f t="shared" si="12"/>
        <v>-1.1700000000000728</v>
      </c>
      <c r="Y71" s="12">
        <f t="shared" si="25"/>
        <v>-279.73500000000013</v>
      </c>
      <c r="Z71" s="2"/>
      <c r="AA71" s="10">
        <f t="shared" si="13"/>
        <v>1301.2850000000001</v>
      </c>
      <c r="AB71" s="2"/>
      <c r="AD71" s="2">
        <f t="shared" ref="AD71:AD76" si="62">R71-AL71</f>
        <v>-0.20000000000004547</v>
      </c>
      <c r="AE71" s="2">
        <f t="shared" ref="AE71:AE80" si="63">AM71-S71</f>
        <v>1.4999999999872671E-2</v>
      </c>
      <c r="AF71" s="2"/>
      <c r="AG71" s="8">
        <f t="shared" si="49"/>
        <v>12</v>
      </c>
      <c r="AH71" s="18">
        <v>239.27</v>
      </c>
      <c r="AI71">
        <v>20</v>
      </c>
      <c r="AJ71">
        <f t="shared" si="50"/>
        <v>1280</v>
      </c>
      <c r="AK71" s="2">
        <f t="shared" si="58"/>
        <v>1278.915</v>
      </c>
      <c r="AL71" s="6">
        <f t="shared" ref="AL71:AL79" si="64">AK71-AJ71</f>
        <v>-1.0850000000000364</v>
      </c>
      <c r="AM71" s="12">
        <f t="shared" si="51"/>
        <v>-0.14000000000010004</v>
      </c>
      <c r="AN71" s="18">
        <v>239.28</v>
      </c>
      <c r="AO71" s="2">
        <f t="shared" si="59"/>
        <v>1279.01</v>
      </c>
      <c r="AP71" s="6">
        <f t="shared" ref="AP71:AP81" si="65">AO71-AJ71</f>
        <v>-0.99000000000000909</v>
      </c>
      <c r="AQ71" s="12">
        <f t="shared" ref="AQ71:AQ80" si="66">AO72-AO71-AI71</f>
        <v>-0.15499999999997272</v>
      </c>
    </row>
    <row r="72" spans="2:43" x14ac:dyDescent="0.45">
      <c r="B72" s="4"/>
      <c r="E72" s="4"/>
      <c r="F72" s="6"/>
      <c r="G72" s="2"/>
      <c r="H72" s="2"/>
      <c r="K72" s="5"/>
      <c r="M72" s="4">
        <v>319.495</v>
      </c>
      <c r="N72">
        <f t="shared" si="21"/>
        <v>66</v>
      </c>
      <c r="O72">
        <v>20</v>
      </c>
      <c r="P72">
        <f t="shared" si="22"/>
        <v>1320</v>
      </c>
      <c r="Q72" s="4">
        <f t="shared" si="60"/>
        <v>1318.6399999999999</v>
      </c>
      <c r="R72" s="6">
        <f t="shared" ref="R72:R82" si="67">Q72-P72</f>
        <v>-1.3600000000001273</v>
      </c>
      <c r="S72" s="12">
        <f t="shared" si="23"/>
        <v>-7.5000000000045475E-2</v>
      </c>
      <c r="T72" s="12"/>
      <c r="U72" s="4">
        <v>319.52999999999997</v>
      </c>
      <c r="V72" s="9">
        <f t="shared" si="24"/>
        <v>1320</v>
      </c>
      <c r="W72" s="4">
        <f t="shared" si="61"/>
        <v>1318.7350000000001</v>
      </c>
      <c r="X72" s="6">
        <f t="shared" ref="X72:X82" si="68">W72-V72</f>
        <v>-1.2649999999998727</v>
      </c>
      <c r="Y72" s="12">
        <f t="shared" si="25"/>
        <v>-299.62499999999977</v>
      </c>
      <c r="Z72" s="2"/>
      <c r="AA72" s="10">
        <f t="shared" ref="AA72:AA82" si="69">P72-R72</f>
        <v>1321.3600000000001</v>
      </c>
      <c r="AB72" s="2"/>
      <c r="AD72" s="2">
        <f t="shared" si="62"/>
        <v>-0.13499999999999091</v>
      </c>
      <c r="AE72" s="2">
        <f t="shared" si="63"/>
        <v>5.5000000000063665E-2</v>
      </c>
      <c r="AF72" s="2"/>
      <c r="AG72" s="8">
        <f t="shared" si="49"/>
        <v>11</v>
      </c>
      <c r="AH72" s="18">
        <v>219.41</v>
      </c>
      <c r="AI72">
        <v>20</v>
      </c>
      <c r="AJ72">
        <f t="shared" si="50"/>
        <v>1300</v>
      </c>
      <c r="AK72" s="2">
        <f t="shared" si="58"/>
        <v>1298.7749999999999</v>
      </c>
      <c r="AL72" s="6">
        <f t="shared" si="64"/>
        <v>-1.2250000000001364</v>
      </c>
      <c r="AM72" s="12">
        <f t="shared" si="51"/>
        <v>-1.999999999998181E-2</v>
      </c>
      <c r="AN72" s="18">
        <v>219.435</v>
      </c>
      <c r="AO72" s="2">
        <f t="shared" si="59"/>
        <v>1298.855</v>
      </c>
      <c r="AP72" s="6">
        <f t="shared" si="65"/>
        <v>-1.1449999999999818</v>
      </c>
      <c r="AQ72" s="12">
        <f t="shared" si="66"/>
        <v>-1.999999999998181E-2</v>
      </c>
    </row>
    <row r="73" spans="2:43" x14ac:dyDescent="0.45">
      <c r="B73" s="4"/>
      <c r="E73" s="4"/>
      <c r="F73" s="6"/>
      <c r="G73" s="2"/>
      <c r="H73" s="2"/>
      <c r="K73" s="5"/>
      <c r="M73" s="4">
        <v>339.44</v>
      </c>
      <c r="N73">
        <f t="shared" ref="N73:N82" si="70">N72+1</f>
        <v>67</v>
      </c>
      <c r="O73">
        <v>20</v>
      </c>
      <c r="P73">
        <f t="shared" ref="P73:P82" si="71">P72+O73</f>
        <v>1340</v>
      </c>
      <c r="Q73" s="4">
        <f t="shared" si="60"/>
        <v>1338.585</v>
      </c>
      <c r="R73" s="6">
        <f t="shared" si="67"/>
        <v>-1.4149999999999636</v>
      </c>
      <c r="S73" s="12">
        <f t="shared" ref="S73:S79" si="72">(Q73-Q72)-O73</f>
        <v>-5.4999999999836291E-2</v>
      </c>
      <c r="T73" s="12"/>
      <c r="U73" s="4">
        <v>339.51499999999999</v>
      </c>
      <c r="V73" s="9">
        <f t="shared" ref="V73:V82" si="73">V72+20</f>
        <v>1340</v>
      </c>
      <c r="W73" s="4">
        <f t="shared" si="61"/>
        <v>1338.72</v>
      </c>
      <c r="X73" s="6">
        <f t="shared" si="68"/>
        <v>-1.2799999999999727</v>
      </c>
      <c r="Y73" s="12">
        <f t="shared" ref="Y73:Y79" si="74">(W73-W72)-U73</f>
        <v>-319.53000000000009</v>
      </c>
      <c r="Z73" s="2"/>
      <c r="AA73" s="10">
        <f t="shared" si="69"/>
        <v>1341.415</v>
      </c>
      <c r="AB73" s="2"/>
      <c r="AD73" s="2">
        <f t="shared" si="62"/>
        <v>-0.16999999999984539</v>
      </c>
      <c r="AE73" s="2">
        <f t="shared" si="63"/>
        <v>3.999999999996362E-2</v>
      </c>
      <c r="AF73" s="2"/>
      <c r="AG73" s="8">
        <f t="shared" si="49"/>
        <v>10</v>
      </c>
      <c r="AH73" s="18">
        <v>199.43</v>
      </c>
      <c r="AI73">
        <v>20</v>
      </c>
      <c r="AJ73">
        <f t="shared" si="50"/>
        <v>1320</v>
      </c>
      <c r="AK73" s="2">
        <f t="shared" si="58"/>
        <v>1318.7549999999999</v>
      </c>
      <c r="AL73" s="6">
        <f t="shared" si="64"/>
        <v>-1.2450000000001182</v>
      </c>
      <c r="AM73" s="12">
        <f t="shared" si="51"/>
        <v>-1.4999999999872671E-2</v>
      </c>
      <c r="AN73" s="18">
        <v>199.45500000000001</v>
      </c>
      <c r="AO73" s="2">
        <f t="shared" si="59"/>
        <v>1318.835</v>
      </c>
      <c r="AP73" s="6">
        <f t="shared" si="65"/>
        <v>-1.1649999999999636</v>
      </c>
      <c r="AQ73" s="12">
        <f t="shared" si="66"/>
        <v>-9.9999999999909051E-3</v>
      </c>
    </row>
    <row r="74" spans="2:43" x14ac:dyDescent="0.45">
      <c r="B74" s="4"/>
      <c r="E74" s="4"/>
      <c r="F74" s="6"/>
      <c r="G74" s="2"/>
      <c r="H74" s="2"/>
      <c r="K74" s="5"/>
      <c r="M74" s="4">
        <v>359.43</v>
      </c>
      <c r="N74">
        <f t="shared" si="70"/>
        <v>68</v>
      </c>
      <c r="O74">
        <v>20</v>
      </c>
      <c r="P74">
        <f t="shared" si="71"/>
        <v>1360</v>
      </c>
      <c r="Q74" s="4">
        <f t="shared" si="60"/>
        <v>1358.575</v>
      </c>
      <c r="R74" s="6">
        <f t="shared" si="67"/>
        <v>-1.4249999999999545</v>
      </c>
      <c r="S74" s="12">
        <f t="shared" si="72"/>
        <v>-9.9999999999909051E-3</v>
      </c>
      <c r="T74" s="12"/>
      <c r="U74" s="4">
        <v>359.49</v>
      </c>
      <c r="V74" s="9">
        <f t="shared" si="73"/>
        <v>1360</v>
      </c>
      <c r="W74" s="4">
        <f t="shared" si="61"/>
        <v>1358.6950000000002</v>
      </c>
      <c r="X74" s="6">
        <f t="shared" si="68"/>
        <v>-1.3049999999998363</v>
      </c>
      <c r="Y74" s="12">
        <f t="shared" si="74"/>
        <v>-339.51499999999987</v>
      </c>
      <c r="Z74" s="2"/>
      <c r="AA74" s="10">
        <f t="shared" si="69"/>
        <v>1361.425</v>
      </c>
      <c r="AB74" s="2"/>
      <c r="AD74" s="2">
        <f t="shared" si="62"/>
        <v>-0.16499999999996362</v>
      </c>
      <c r="AE74" s="2">
        <f t="shared" si="63"/>
        <v>9.9999999999909051E-3</v>
      </c>
      <c r="AF74" s="2"/>
      <c r="AG74" s="8">
        <f t="shared" si="49"/>
        <v>9</v>
      </c>
      <c r="AH74" s="18">
        <v>179.44499999999999</v>
      </c>
      <c r="AI74">
        <v>20</v>
      </c>
      <c r="AJ74">
        <f t="shared" si="50"/>
        <v>1340</v>
      </c>
      <c r="AK74" s="2">
        <f t="shared" si="58"/>
        <v>1338.74</v>
      </c>
      <c r="AL74" s="6">
        <f t="shared" si="64"/>
        <v>-1.2599999999999909</v>
      </c>
      <c r="AM74" s="12">
        <f t="shared" si="51"/>
        <v>0</v>
      </c>
      <c r="AN74" s="18">
        <v>179.465</v>
      </c>
      <c r="AO74" s="2">
        <f t="shared" si="59"/>
        <v>1338.825</v>
      </c>
      <c r="AP74" s="6">
        <f t="shared" si="65"/>
        <v>-1.1749999999999545</v>
      </c>
      <c r="AQ74" s="12">
        <f t="shared" si="66"/>
        <v>-9.9999999999909051E-3</v>
      </c>
    </row>
    <row r="75" spans="2:43" x14ac:dyDescent="0.45">
      <c r="B75" s="4"/>
      <c r="E75" s="4"/>
      <c r="F75" s="6"/>
      <c r="G75" s="2"/>
      <c r="H75" s="2"/>
      <c r="K75" s="5"/>
      <c r="M75" s="4">
        <v>379.47500000000002</v>
      </c>
      <c r="N75">
        <f t="shared" si="70"/>
        <v>69</v>
      </c>
      <c r="O75">
        <v>20</v>
      </c>
      <c r="P75">
        <f t="shared" si="71"/>
        <v>1380</v>
      </c>
      <c r="Q75" s="4">
        <f t="shared" si="60"/>
        <v>1378.62</v>
      </c>
      <c r="R75" s="6">
        <f t="shared" si="67"/>
        <v>-1.3800000000001091</v>
      </c>
      <c r="S75" s="12">
        <f t="shared" si="72"/>
        <v>4.4999999999845386E-2</v>
      </c>
      <c r="T75" s="12"/>
      <c r="U75" s="4">
        <v>379.54500000000002</v>
      </c>
      <c r="V75" s="9">
        <f t="shared" si="73"/>
        <v>1380</v>
      </c>
      <c r="W75" s="4">
        <f t="shared" si="61"/>
        <v>1378.75</v>
      </c>
      <c r="X75" s="6">
        <f t="shared" si="68"/>
        <v>-1.25</v>
      </c>
      <c r="Y75" s="12">
        <f t="shared" si="74"/>
        <v>-359.49000000000018</v>
      </c>
      <c r="Z75" s="2"/>
      <c r="AA75" s="10">
        <f t="shared" si="69"/>
        <v>1381.38</v>
      </c>
      <c r="AB75" s="2"/>
      <c r="AD75" s="2">
        <f t="shared" si="62"/>
        <v>-0.12000000000011823</v>
      </c>
      <c r="AE75" s="2">
        <f t="shared" si="63"/>
        <v>-6.4999999999827196E-2</v>
      </c>
      <c r="AF75" s="2"/>
      <c r="AG75" s="8">
        <f t="shared" si="49"/>
        <v>8</v>
      </c>
      <c r="AH75" s="18">
        <v>159.44499999999999</v>
      </c>
      <c r="AI75">
        <v>20</v>
      </c>
      <c r="AJ75">
        <f t="shared" si="50"/>
        <v>1360</v>
      </c>
      <c r="AK75" s="2">
        <f t="shared" si="58"/>
        <v>1358.74</v>
      </c>
      <c r="AL75" s="6">
        <f t="shared" si="64"/>
        <v>-1.2599999999999909</v>
      </c>
      <c r="AM75" s="12">
        <f t="shared" si="51"/>
        <v>-1.999999999998181E-2</v>
      </c>
      <c r="AN75" s="18">
        <v>159.47499999999999</v>
      </c>
      <c r="AO75" s="2">
        <f t="shared" si="59"/>
        <v>1358.8150000000001</v>
      </c>
      <c r="AP75" s="6">
        <f t="shared" si="65"/>
        <v>-1.1849999999999454</v>
      </c>
      <c r="AQ75" s="12">
        <f t="shared" si="66"/>
        <v>0</v>
      </c>
    </row>
    <row r="76" spans="2:43" x14ac:dyDescent="0.45">
      <c r="B76" s="4"/>
      <c r="E76" s="4"/>
      <c r="F76" s="6"/>
      <c r="G76" s="2"/>
      <c r="H76" s="2"/>
      <c r="K76" s="5"/>
      <c r="M76" s="4">
        <v>399.51</v>
      </c>
      <c r="N76">
        <f t="shared" si="70"/>
        <v>70</v>
      </c>
      <c r="O76">
        <v>20</v>
      </c>
      <c r="P76">
        <f t="shared" si="71"/>
        <v>1400</v>
      </c>
      <c r="Q76" s="4">
        <f t="shared" si="60"/>
        <v>1398.655</v>
      </c>
      <c r="R76" s="6">
        <f t="shared" si="67"/>
        <v>-1.3450000000000273</v>
      </c>
      <c r="S76" s="12">
        <f t="shared" si="72"/>
        <v>3.5000000000081855E-2</v>
      </c>
      <c r="T76" s="12"/>
      <c r="U76" s="4">
        <v>399.59</v>
      </c>
      <c r="V76" s="9">
        <f t="shared" si="73"/>
        <v>1400</v>
      </c>
      <c r="W76" s="4">
        <f t="shared" si="61"/>
        <v>1398.7950000000001</v>
      </c>
      <c r="X76" s="6">
        <f t="shared" si="68"/>
        <v>-1.2049999999999272</v>
      </c>
      <c r="Y76" s="12">
        <f t="shared" si="74"/>
        <v>-379.5449999999999</v>
      </c>
      <c r="Z76" s="2"/>
      <c r="AA76" s="10">
        <f t="shared" si="69"/>
        <v>1401.345</v>
      </c>
      <c r="AB76" s="2"/>
      <c r="AD76" s="2">
        <f t="shared" si="62"/>
        <v>-6.500000000005457E-2</v>
      </c>
      <c r="AE76" s="2">
        <f t="shared" si="63"/>
        <v>-5.0000000001091394E-3</v>
      </c>
      <c r="AF76" s="2"/>
      <c r="AG76" s="8">
        <f t="shared" si="49"/>
        <v>7</v>
      </c>
      <c r="AH76" s="18">
        <v>139.465</v>
      </c>
      <c r="AI76">
        <v>20</v>
      </c>
      <c r="AJ76">
        <f t="shared" si="50"/>
        <v>1380</v>
      </c>
      <c r="AK76" s="2">
        <f t="shared" si="58"/>
        <v>1378.72</v>
      </c>
      <c r="AL76" s="6">
        <f t="shared" si="64"/>
        <v>-1.2799999999999727</v>
      </c>
      <c r="AM76" s="12">
        <f t="shared" si="51"/>
        <v>2.9999999999972715E-2</v>
      </c>
      <c r="AN76" s="18">
        <v>139.47499999999999</v>
      </c>
      <c r="AO76" s="2">
        <f t="shared" si="59"/>
        <v>1378.8150000000001</v>
      </c>
      <c r="AP76" s="6">
        <f t="shared" si="65"/>
        <v>-1.1849999999999454</v>
      </c>
      <c r="AQ76" s="12">
        <f t="shared" si="66"/>
        <v>2.4999999999863576E-2</v>
      </c>
    </row>
    <row r="77" spans="2:43" x14ac:dyDescent="0.45">
      <c r="B77" s="4"/>
      <c r="E77" s="4"/>
      <c r="F77" s="6"/>
      <c r="G77" s="2"/>
      <c r="H77" s="2"/>
      <c r="K77" s="5"/>
      <c r="M77" s="4">
        <v>419.52499999999998</v>
      </c>
      <c r="N77">
        <f t="shared" si="70"/>
        <v>71</v>
      </c>
      <c r="O77">
        <v>20</v>
      </c>
      <c r="P77">
        <f t="shared" si="71"/>
        <v>1420</v>
      </c>
      <c r="Q77" s="4">
        <f t="shared" si="60"/>
        <v>1418.67</v>
      </c>
      <c r="R77" s="6">
        <f t="shared" si="67"/>
        <v>-1.3299999999999272</v>
      </c>
      <c r="S77" s="12">
        <f t="shared" si="72"/>
        <v>1.5000000000100044E-2</v>
      </c>
      <c r="T77" s="12"/>
      <c r="U77" s="4">
        <v>419.58</v>
      </c>
      <c r="V77" s="9">
        <f t="shared" si="73"/>
        <v>1420</v>
      </c>
      <c r="W77" s="4">
        <f t="shared" si="61"/>
        <v>1418.7850000000001</v>
      </c>
      <c r="X77" s="6">
        <f t="shared" si="68"/>
        <v>-1.2149999999999181</v>
      </c>
      <c r="Y77" s="12">
        <f t="shared" si="74"/>
        <v>-399.59</v>
      </c>
      <c r="Z77" s="2"/>
      <c r="AA77" s="10">
        <f t="shared" si="69"/>
        <v>1421.33</v>
      </c>
      <c r="AB77" s="2"/>
      <c r="AD77" s="2">
        <f>R77-AL77</f>
        <v>-7.999999999992724E-2</v>
      </c>
      <c r="AE77" s="2">
        <f t="shared" si="63"/>
        <v>-2.0000000000209184E-2</v>
      </c>
      <c r="AF77" s="2"/>
      <c r="AG77" s="8">
        <f t="shared" si="49"/>
        <v>6</v>
      </c>
      <c r="AH77" s="18">
        <v>119.435</v>
      </c>
      <c r="AI77">
        <v>20</v>
      </c>
      <c r="AJ77">
        <f t="shared" si="50"/>
        <v>1400</v>
      </c>
      <c r="AK77" s="2">
        <f t="shared" si="58"/>
        <v>1398.75</v>
      </c>
      <c r="AL77" s="6">
        <f t="shared" si="64"/>
        <v>-1.25</v>
      </c>
      <c r="AM77" s="12">
        <f t="shared" si="51"/>
        <v>-5.0000000001091394E-3</v>
      </c>
      <c r="AN77" s="18">
        <v>119.45</v>
      </c>
      <c r="AO77" s="2">
        <f t="shared" si="59"/>
        <v>1398.84</v>
      </c>
      <c r="AP77" s="6">
        <f t="shared" si="65"/>
        <v>-1.1600000000000819</v>
      </c>
      <c r="AQ77" s="12">
        <f t="shared" si="66"/>
        <v>1.5000000000100044E-2</v>
      </c>
    </row>
    <row r="78" spans="2:43" x14ac:dyDescent="0.45">
      <c r="B78" s="4"/>
      <c r="E78" s="4"/>
      <c r="F78" s="2"/>
      <c r="G78" s="2"/>
      <c r="H78" s="2"/>
      <c r="K78" s="5"/>
      <c r="M78" s="4">
        <v>439.4</v>
      </c>
      <c r="N78">
        <f t="shared" si="70"/>
        <v>72</v>
      </c>
      <c r="O78">
        <v>20</v>
      </c>
      <c r="P78">
        <f t="shared" si="71"/>
        <v>1440</v>
      </c>
      <c r="Q78" s="4">
        <f t="shared" si="60"/>
        <v>1438.5450000000001</v>
      </c>
      <c r="R78" s="6">
        <f t="shared" si="67"/>
        <v>-1.4549999999999272</v>
      </c>
      <c r="S78" s="12">
        <f t="shared" si="72"/>
        <v>-0.125</v>
      </c>
      <c r="T78" s="12"/>
      <c r="U78" s="4">
        <v>439.49</v>
      </c>
      <c r="V78" s="9">
        <f t="shared" si="73"/>
        <v>1440</v>
      </c>
      <c r="W78" s="4">
        <f t="shared" si="61"/>
        <v>1438.6950000000002</v>
      </c>
      <c r="X78" s="6">
        <f t="shared" si="68"/>
        <v>-1.3049999999998363</v>
      </c>
      <c r="Y78" s="12">
        <f t="shared" si="74"/>
        <v>-419.57999999999993</v>
      </c>
      <c r="Z78" s="2"/>
      <c r="AA78" s="10">
        <f t="shared" si="69"/>
        <v>1441.4549999999999</v>
      </c>
      <c r="AB78" s="2"/>
      <c r="AD78" s="2">
        <f t="shared" ref="AD78:AD80" si="75">R78-AL78</f>
        <v>-0.1999999999998181</v>
      </c>
      <c r="AE78" s="2">
        <f t="shared" si="63"/>
        <v>1.999999999998181E-2</v>
      </c>
      <c r="AF78" s="2"/>
      <c r="AG78" s="8">
        <f t="shared" si="49"/>
        <v>5</v>
      </c>
      <c r="AH78" s="18">
        <v>99.44</v>
      </c>
      <c r="AI78">
        <v>20</v>
      </c>
      <c r="AJ78">
        <f t="shared" si="50"/>
        <v>1420</v>
      </c>
      <c r="AK78" s="2">
        <f t="shared" si="58"/>
        <v>1418.7449999999999</v>
      </c>
      <c r="AL78" s="6">
        <f t="shared" si="64"/>
        <v>-1.2550000000001091</v>
      </c>
      <c r="AM78" s="12">
        <f t="shared" si="51"/>
        <v>-0.10500000000001819</v>
      </c>
      <c r="AN78" s="18">
        <v>99.435000000000002</v>
      </c>
      <c r="AO78" s="2">
        <f t="shared" si="59"/>
        <v>1418.855</v>
      </c>
      <c r="AP78" s="6">
        <f t="shared" si="65"/>
        <v>-1.1449999999999818</v>
      </c>
      <c r="AQ78" s="12">
        <f t="shared" si="66"/>
        <v>-0.11000000000012733</v>
      </c>
    </row>
    <row r="79" spans="2:43" x14ac:dyDescent="0.45">
      <c r="B79" s="4"/>
      <c r="E79" s="4"/>
      <c r="F79" s="2"/>
      <c r="G79" s="2"/>
      <c r="H79" s="2"/>
      <c r="K79" s="5"/>
      <c r="M79" s="4">
        <v>459.27499999999998</v>
      </c>
      <c r="N79">
        <f t="shared" si="70"/>
        <v>73</v>
      </c>
      <c r="O79">
        <v>20</v>
      </c>
      <c r="P79">
        <f t="shared" si="71"/>
        <v>1460</v>
      </c>
      <c r="Q79" s="4">
        <f t="shared" si="60"/>
        <v>1458.42</v>
      </c>
      <c r="R79" s="6">
        <f t="shared" si="67"/>
        <v>-1.5799999999999272</v>
      </c>
      <c r="S79" s="12">
        <f t="shared" si="72"/>
        <v>-0.125</v>
      </c>
      <c r="T79" s="12"/>
      <c r="U79" s="4">
        <v>459.35</v>
      </c>
      <c r="V79" s="9">
        <f t="shared" si="73"/>
        <v>1460</v>
      </c>
      <c r="W79" s="4">
        <f t="shared" si="61"/>
        <v>1458.5550000000001</v>
      </c>
      <c r="X79" s="6">
        <f t="shared" si="68"/>
        <v>-1.4449999999999363</v>
      </c>
      <c r="Y79" s="12">
        <f t="shared" si="74"/>
        <v>-439.49000000000012</v>
      </c>
      <c r="Z79" s="2"/>
      <c r="AA79" s="10">
        <f t="shared" si="69"/>
        <v>1461.58</v>
      </c>
      <c r="AB79" s="2"/>
      <c r="AD79" s="2">
        <f t="shared" si="75"/>
        <v>-0.21999999999979991</v>
      </c>
      <c r="AE79" s="2">
        <f t="shared" si="63"/>
        <v>6.500000000005457E-2</v>
      </c>
      <c r="AF79" s="2"/>
      <c r="AG79" s="8">
        <f t="shared" si="49"/>
        <v>4</v>
      </c>
      <c r="AH79" s="18">
        <v>79.545000000000002</v>
      </c>
      <c r="AI79">
        <v>20</v>
      </c>
      <c r="AJ79">
        <f t="shared" si="50"/>
        <v>1440</v>
      </c>
      <c r="AK79" s="2">
        <f t="shared" si="58"/>
        <v>1438.6399999999999</v>
      </c>
      <c r="AL79" s="6">
        <f t="shared" si="64"/>
        <v>-1.3600000000001273</v>
      </c>
      <c r="AM79" s="12">
        <f t="shared" si="51"/>
        <v>-5.999999999994543E-2</v>
      </c>
      <c r="AN79" s="18">
        <v>79.545000000000002</v>
      </c>
      <c r="AO79" s="2">
        <f t="shared" si="59"/>
        <v>1438.7449999999999</v>
      </c>
      <c r="AP79" s="6">
        <f t="shared" si="65"/>
        <v>-1.2550000000001091</v>
      </c>
      <c r="AQ79" s="12">
        <f t="shared" si="66"/>
        <v>-5.4999999999836291E-2</v>
      </c>
    </row>
    <row r="80" spans="2:43" x14ac:dyDescent="0.45">
      <c r="B80" s="4"/>
      <c r="E80" s="4"/>
      <c r="F80" s="2"/>
      <c r="G80" s="2"/>
      <c r="H80" s="2"/>
      <c r="K80" s="5"/>
      <c r="M80" s="4">
        <v>479.13499999999999</v>
      </c>
      <c r="N80">
        <f t="shared" si="70"/>
        <v>74</v>
      </c>
      <c r="O80">
        <v>20</v>
      </c>
      <c r="P80">
        <f t="shared" si="71"/>
        <v>1480</v>
      </c>
      <c r="Q80" s="4">
        <f t="shared" si="60"/>
        <v>1478.28</v>
      </c>
      <c r="R80" s="6">
        <f t="shared" si="67"/>
        <v>-1.7200000000000273</v>
      </c>
      <c r="S80" s="12">
        <f>(Q80-Q79)-O80</f>
        <v>-0.14000000000010004</v>
      </c>
      <c r="T80" s="12"/>
      <c r="U80" s="4">
        <v>479.19499999999999</v>
      </c>
      <c r="V80" s="9">
        <f t="shared" si="73"/>
        <v>1480</v>
      </c>
      <c r="W80" s="4">
        <f t="shared" si="61"/>
        <v>1478.4</v>
      </c>
      <c r="X80" s="6">
        <f t="shared" si="68"/>
        <v>-1.5999999999999091</v>
      </c>
      <c r="Y80" s="12">
        <f>(W80-W79)-U80</f>
        <v>-459.34999999999997</v>
      </c>
      <c r="Z80" s="2"/>
      <c r="AA80" s="10">
        <f t="shared" si="69"/>
        <v>1481.72</v>
      </c>
      <c r="AB80" s="2"/>
      <c r="AD80" s="2">
        <f t="shared" si="75"/>
        <v>-0.29999999999995453</v>
      </c>
      <c r="AE80" s="2">
        <f t="shared" si="63"/>
        <v>3.0000000000200089E-2</v>
      </c>
      <c r="AF80" s="2"/>
      <c r="AG80" s="8">
        <f t="shared" si="49"/>
        <v>3</v>
      </c>
      <c r="AH80" s="18">
        <v>59.604999999999997</v>
      </c>
      <c r="AI80">
        <v>20</v>
      </c>
      <c r="AJ80">
        <f t="shared" si="50"/>
        <v>1460</v>
      </c>
      <c r="AK80" s="2">
        <f t="shared" si="58"/>
        <v>1458.58</v>
      </c>
      <c r="AL80" s="6">
        <f>AK80-AJ80</f>
        <v>-1.4200000000000728</v>
      </c>
      <c r="AM80" s="12">
        <f t="shared" si="51"/>
        <v>-0.10999999999989996</v>
      </c>
      <c r="AN80" s="18">
        <v>59.6</v>
      </c>
      <c r="AO80" s="2">
        <f t="shared" si="59"/>
        <v>1458.69</v>
      </c>
      <c r="AP80" s="6">
        <f t="shared" si="65"/>
        <v>-1.3099999999999454</v>
      </c>
      <c r="AQ80" s="12">
        <f t="shared" si="66"/>
        <v>-9.5000000000027285E-2</v>
      </c>
    </row>
    <row r="81" spans="2:43" x14ac:dyDescent="0.45">
      <c r="B81" s="4"/>
      <c r="E81" s="4"/>
      <c r="F81" s="2"/>
      <c r="G81" s="2"/>
      <c r="H81" s="2"/>
      <c r="K81" s="5"/>
      <c r="M81" s="4">
        <v>499.08</v>
      </c>
      <c r="N81">
        <f t="shared" si="70"/>
        <v>75</v>
      </c>
      <c r="O81">
        <v>20</v>
      </c>
      <c r="P81">
        <f t="shared" si="71"/>
        <v>1500</v>
      </c>
      <c r="Q81" s="4">
        <f t="shared" si="60"/>
        <v>1498.2249999999999</v>
      </c>
      <c r="R81" s="6">
        <f t="shared" si="67"/>
        <v>-1.7750000000000909</v>
      </c>
      <c r="S81" s="12">
        <f>(Q81-Q80)-O81</f>
        <v>-5.5000000000063665E-2</v>
      </c>
      <c r="T81" s="12"/>
      <c r="U81" s="4">
        <v>499.13</v>
      </c>
      <c r="V81" s="9">
        <f t="shared" si="73"/>
        <v>1500</v>
      </c>
      <c r="W81" s="4">
        <f t="shared" si="61"/>
        <v>1498.335</v>
      </c>
      <c r="X81" s="6">
        <f t="shared" si="68"/>
        <v>-1.6649999999999636</v>
      </c>
      <c r="Y81" s="12">
        <f>(W81-W80)-U81</f>
        <v>-479.19500000000005</v>
      </c>
      <c r="Z81" s="2"/>
      <c r="AA81" s="10">
        <f t="shared" si="69"/>
        <v>1501.7750000000001</v>
      </c>
      <c r="AB81" s="2"/>
      <c r="AD81" s="2">
        <f>R81-AL81</f>
        <v>-0.24500000000011823</v>
      </c>
      <c r="AE81" s="2">
        <f>AM81-S81</f>
        <v>-3.5000000000081855E-2</v>
      </c>
      <c r="AF81" s="2"/>
      <c r="AG81" s="8">
        <f>AG82+1</f>
        <v>2</v>
      </c>
      <c r="AH81" s="18">
        <v>39.715000000000003</v>
      </c>
      <c r="AI81">
        <v>20</v>
      </c>
      <c r="AJ81">
        <f t="shared" si="50"/>
        <v>1480</v>
      </c>
      <c r="AK81" s="2">
        <f>1518.185-AH81</f>
        <v>1478.47</v>
      </c>
      <c r="AL81" s="6">
        <f>AK81-AJ81</f>
        <v>-1.5299999999999727</v>
      </c>
      <c r="AM81" s="12">
        <f>AK82-AK81-AI81</f>
        <v>-9.0000000000145519E-2</v>
      </c>
      <c r="AN81" s="18">
        <v>39.695</v>
      </c>
      <c r="AO81" s="2">
        <f t="shared" si="59"/>
        <v>1478.595</v>
      </c>
      <c r="AP81" s="6">
        <f t="shared" si="65"/>
        <v>-1.4049999999999727</v>
      </c>
      <c r="AQ81" s="12">
        <f>AO82-AO81-AI81</f>
        <v>-9.0000000000145519E-2</v>
      </c>
    </row>
    <row r="82" spans="2:43" x14ac:dyDescent="0.45">
      <c r="B82" s="4"/>
      <c r="E82" s="4"/>
      <c r="F82" s="2"/>
      <c r="G82" s="2"/>
      <c r="H82" s="2"/>
      <c r="K82" s="5"/>
      <c r="M82" s="4">
        <v>519.04</v>
      </c>
      <c r="N82">
        <f t="shared" si="70"/>
        <v>76</v>
      </c>
      <c r="O82">
        <v>20</v>
      </c>
      <c r="P82">
        <f t="shared" si="71"/>
        <v>1520</v>
      </c>
      <c r="Q82" s="4">
        <f>M82+999.145</f>
        <v>1518.1849999999999</v>
      </c>
      <c r="R82" s="6">
        <f t="shared" si="67"/>
        <v>-1.8150000000000546</v>
      </c>
      <c r="S82" s="12">
        <f t="shared" ref="S82" si="76">(Q82-Q81)-O82</f>
        <v>-3.999999999996362E-2</v>
      </c>
      <c r="T82" s="12"/>
      <c r="U82" s="4">
        <v>519.08500000000004</v>
      </c>
      <c r="V82" s="9">
        <f t="shared" si="73"/>
        <v>1520</v>
      </c>
      <c r="W82" s="4">
        <f t="shared" si="61"/>
        <v>1518.29</v>
      </c>
      <c r="X82" s="6">
        <f t="shared" si="68"/>
        <v>-1.7100000000000364</v>
      </c>
      <c r="Y82" s="12">
        <f t="shared" ref="Y82" si="77">(W82-W81)-U82</f>
        <v>-499.13000000000011</v>
      </c>
      <c r="Z82" s="2"/>
      <c r="AA82" s="10">
        <f t="shared" si="69"/>
        <v>1521.8150000000001</v>
      </c>
      <c r="AB82" s="2"/>
      <c r="AG82" s="8">
        <v>1</v>
      </c>
      <c r="AH82" s="18">
        <v>19.805</v>
      </c>
      <c r="AI82">
        <v>20</v>
      </c>
      <c r="AJ82">
        <f t="shared" si="50"/>
        <v>1500</v>
      </c>
      <c r="AK82" s="2">
        <f>1518.185-AH82</f>
        <v>1498.3799999999999</v>
      </c>
      <c r="AL82" s="6">
        <f>AK82-AJ82</f>
        <v>-1.6200000000001182</v>
      </c>
      <c r="AM82" s="12">
        <f>AH82-AI82</f>
        <v>-0.19500000000000028</v>
      </c>
      <c r="AN82" s="18">
        <v>19.785</v>
      </c>
      <c r="AO82" s="2">
        <f>1518.29-AN82</f>
        <v>1498.5049999999999</v>
      </c>
      <c r="AP82" s="6">
        <f>AO82-AJ82</f>
        <v>-1.4950000000001182</v>
      </c>
      <c r="AQ82" s="12">
        <f>AN82-AI82</f>
        <v>-0.21499999999999986</v>
      </c>
    </row>
    <row r="83" spans="2:43" x14ac:dyDescent="0.45">
      <c r="B83" s="4"/>
      <c r="E83" s="4"/>
      <c r="F83" s="2"/>
      <c r="G83" s="2"/>
      <c r="H83" s="2"/>
      <c r="K83" s="5"/>
      <c r="AH83" s="2"/>
      <c r="AI83">
        <v>20</v>
      </c>
      <c r="AJ83">
        <f t="shared" si="50"/>
        <v>1520</v>
      </c>
      <c r="AL83" s="7"/>
    </row>
    <row r="84" spans="2:43" x14ac:dyDescent="0.45">
      <c r="B84" s="2"/>
      <c r="F84" s="2"/>
      <c r="G84" s="2"/>
      <c r="K84" s="5"/>
    </row>
    <row r="85" spans="2:43" x14ac:dyDescent="0.45">
      <c r="F85" s="2"/>
      <c r="G85" s="2"/>
      <c r="K85" s="5"/>
    </row>
    <row r="86" spans="2:43" x14ac:dyDescent="0.45">
      <c r="F86" s="2"/>
      <c r="G86" s="2"/>
      <c r="K86" s="5"/>
    </row>
    <row r="87" spans="2:43" x14ac:dyDescent="0.45">
      <c r="F87" s="2"/>
      <c r="G87" s="2"/>
      <c r="K87" s="5"/>
    </row>
    <row r="88" spans="2:43" x14ac:dyDescent="0.45">
      <c r="F88" s="2"/>
      <c r="G88" s="2"/>
      <c r="K88" s="5"/>
    </row>
    <row r="89" spans="2:43" x14ac:dyDescent="0.45">
      <c r="F89" s="2"/>
      <c r="G89" s="2"/>
      <c r="K89" s="5"/>
    </row>
    <row r="90" spans="2:43" x14ac:dyDescent="0.45">
      <c r="F90" s="2"/>
      <c r="G90" s="2"/>
      <c r="K90" s="5"/>
    </row>
    <row r="91" spans="2:43" x14ac:dyDescent="0.45">
      <c r="F91" s="2"/>
      <c r="G91" s="2"/>
      <c r="K91" s="5"/>
    </row>
    <row r="92" spans="2:43" x14ac:dyDescent="0.45">
      <c r="F92" s="2"/>
      <c r="G92" s="2"/>
      <c r="K92" s="5"/>
    </row>
    <row r="93" spans="2:43" x14ac:dyDescent="0.45">
      <c r="F93" s="2"/>
      <c r="G93" s="2"/>
      <c r="K93" s="5"/>
    </row>
    <row r="94" spans="2:43" x14ac:dyDescent="0.45">
      <c r="F94" s="2"/>
      <c r="G94" s="2"/>
      <c r="K94" s="5"/>
    </row>
    <row r="95" spans="2:43" x14ac:dyDescent="0.45">
      <c r="F95" s="2"/>
      <c r="G95" s="2"/>
      <c r="K95" s="5"/>
    </row>
    <row r="96" spans="2:43" x14ac:dyDescent="0.45">
      <c r="F96" s="2"/>
      <c r="G96" s="2"/>
      <c r="K96" s="5"/>
    </row>
    <row r="97" spans="6:11" x14ac:dyDescent="0.45">
      <c r="F97" s="2"/>
      <c r="G97" s="2"/>
      <c r="K97" s="5"/>
    </row>
    <row r="98" spans="6:11" x14ac:dyDescent="0.45">
      <c r="F98" s="2"/>
      <c r="G98" s="2"/>
      <c r="K98" s="5"/>
    </row>
    <row r="99" spans="6:11" x14ac:dyDescent="0.45">
      <c r="F99" s="2"/>
      <c r="G99" s="2"/>
      <c r="K99" s="5"/>
    </row>
    <row r="100" spans="6:11" x14ac:dyDescent="0.45">
      <c r="F100" s="2"/>
      <c r="G100" s="2"/>
      <c r="K100" s="5"/>
    </row>
    <row r="101" spans="6:11" x14ac:dyDescent="0.45">
      <c r="F101" s="2"/>
      <c r="G101" s="2"/>
      <c r="K101" s="5"/>
    </row>
    <row r="102" spans="6:11" x14ac:dyDescent="0.45">
      <c r="F102" s="2"/>
      <c r="G102" s="2"/>
      <c r="K102" s="5"/>
    </row>
    <row r="103" spans="6:11" x14ac:dyDescent="0.45">
      <c r="F103" s="2"/>
      <c r="G103" s="2"/>
      <c r="K103" s="5"/>
    </row>
    <row r="104" spans="6:11" x14ac:dyDescent="0.45">
      <c r="F104" s="2"/>
      <c r="G104" s="2"/>
      <c r="K104" s="5"/>
    </row>
    <row r="105" spans="6:11" x14ac:dyDescent="0.45">
      <c r="F105" s="2"/>
      <c r="G105" s="2"/>
      <c r="K105" s="5"/>
    </row>
    <row r="106" spans="6:11" x14ac:dyDescent="0.45">
      <c r="F106" s="2"/>
      <c r="G106" s="2"/>
      <c r="K106" s="5"/>
    </row>
    <row r="107" spans="6:11" x14ac:dyDescent="0.45">
      <c r="F107" s="2"/>
      <c r="G107" s="2"/>
      <c r="K107" s="5"/>
    </row>
    <row r="108" spans="6:11" x14ac:dyDescent="0.45">
      <c r="F108" s="2"/>
      <c r="G108" s="2"/>
      <c r="K108" s="5"/>
    </row>
    <row r="109" spans="6:11" x14ac:dyDescent="0.45">
      <c r="F109" s="2"/>
      <c r="G109" s="2"/>
      <c r="K109" s="5"/>
    </row>
    <row r="110" spans="6:11" x14ac:dyDescent="0.45">
      <c r="F110" s="2"/>
      <c r="G110" s="2"/>
      <c r="K110" s="5"/>
    </row>
    <row r="111" spans="6:11" x14ac:dyDescent="0.45">
      <c r="F111" s="2"/>
      <c r="G111" s="2"/>
      <c r="K111" s="5"/>
    </row>
    <row r="112" spans="6:11" x14ac:dyDescent="0.45">
      <c r="F112" s="2"/>
      <c r="G112" s="2"/>
      <c r="K112" s="5"/>
    </row>
    <row r="113" spans="6:11" x14ac:dyDescent="0.45">
      <c r="F113" s="2"/>
      <c r="G113" s="2"/>
      <c r="K113" s="5"/>
    </row>
    <row r="114" spans="6:11" x14ac:dyDescent="0.45">
      <c r="F114" s="2"/>
      <c r="G114" s="2"/>
      <c r="K114" s="5"/>
    </row>
    <row r="115" spans="6:11" x14ac:dyDescent="0.45">
      <c r="F115" s="2"/>
      <c r="G115" s="2"/>
      <c r="K115" s="5"/>
    </row>
    <row r="116" spans="6:11" x14ac:dyDescent="0.45">
      <c r="F116" s="2"/>
      <c r="G116" s="2"/>
      <c r="K116" s="5"/>
    </row>
    <row r="117" spans="6:11" x14ac:dyDescent="0.45">
      <c r="F117" s="2"/>
      <c r="G117" s="2"/>
      <c r="K117" s="5"/>
    </row>
    <row r="118" spans="6:11" x14ac:dyDescent="0.45">
      <c r="F118" s="2"/>
      <c r="G118" s="2"/>
      <c r="K118" s="5"/>
    </row>
    <row r="119" spans="6:11" x14ac:dyDescent="0.45">
      <c r="F119" s="2"/>
      <c r="G119" s="2"/>
      <c r="K119" s="5"/>
    </row>
    <row r="120" spans="6:11" x14ac:dyDescent="0.45">
      <c r="F120" s="2"/>
      <c r="G120" s="2"/>
      <c r="K120" s="5"/>
    </row>
    <row r="121" spans="6:11" x14ac:dyDescent="0.45">
      <c r="F121" s="2"/>
      <c r="G121" s="2"/>
      <c r="K121" s="5"/>
    </row>
    <row r="122" spans="6:11" x14ac:dyDescent="0.45">
      <c r="F122" s="2"/>
      <c r="G122" s="2"/>
      <c r="K122" s="5"/>
    </row>
    <row r="123" spans="6:11" x14ac:dyDescent="0.45">
      <c r="F123" s="2"/>
      <c r="G123" s="2"/>
      <c r="K123" s="5"/>
    </row>
    <row r="124" spans="6:11" x14ac:dyDescent="0.45">
      <c r="F124" s="2"/>
      <c r="G124" s="2"/>
      <c r="K124" s="5"/>
    </row>
    <row r="125" spans="6:11" x14ac:dyDescent="0.45">
      <c r="F125" s="2"/>
      <c r="G125" s="2"/>
      <c r="K125" s="5"/>
    </row>
    <row r="126" spans="6:11" x14ac:dyDescent="0.45">
      <c r="F126" s="2"/>
      <c r="G126" s="2"/>
      <c r="K126" s="5"/>
    </row>
    <row r="127" spans="6:11" x14ac:dyDescent="0.45">
      <c r="F127" s="2"/>
      <c r="G127" s="2"/>
      <c r="K127" s="5"/>
    </row>
    <row r="128" spans="6:11" x14ac:dyDescent="0.45">
      <c r="F128" s="2"/>
      <c r="G128" s="2"/>
      <c r="K128" s="5"/>
    </row>
    <row r="129" spans="6:11" x14ac:dyDescent="0.45">
      <c r="F129" s="2"/>
      <c r="G129" s="2"/>
      <c r="K129" s="5"/>
    </row>
    <row r="130" spans="6:11" x14ac:dyDescent="0.45">
      <c r="F130" s="2"/>
      <c r="G130" s="2"/>
      <c r="K130" s="5"/>
    </row>
    <row r="131" spans="6:11" x14ac:dyDescent="0.45">
      <c r="F131" s="2"/>
      <c r="G131" s="2"/>
      <c r="K131" s="5"/>
    </row>
    <row r="132" spans="6:11" x14ac:dyDescent="0.45">
      <c r="F132" s="2"/>
      <c r="G132" s="2"/>
      <c r="K132" s="5"/>
    </row>
    <row r="133" spans="6:11" x14ac:dyDescent="0.45">
      <c r="F133" s="2"/>
      <c r="G133" s="2"/>
      <c r="K133" s="5"/>
    </row>
    <row r="134" spans="6:11" x14ac:dyDescent="0.45">
      <c r="F134" s="2"/>
      <c r="G134" s="2"/>
      <c r="K134" s="5"/>
    </row>
    <row r="135" spans="6:11" x14ac:dyDescent="0.45">
      <c r="F135" s="2"/>
      <c r="G135" s="2"/>
      <c r="K135" s="5"/>
    </row>
    <row r="136" spans="6:11" x14ac:dyDescent="0.45">
      <c r="F136" s="2"/>
      <c r="G136" s="2"/>
      <c r="K136" s="5"/>
    </row>
    <row r="137" spans="6:11" x14ac:dyDescent="0.45">
      <c r="F137" s="2"/>
      <c r="G137" s="2"/>
      <c r="K137" s="5"/>
    </row>
    <row r="138" spans="6:11" x14ac:dyDescent="0.45">
      <c r="F138" s="2"/>
      <c r="G138" s="2"/>
      <c r="K138" s="5"/>
    </row>
    <row r="139" spans="6:11" x14ac:dyDescent="0.45">
      <c r="F139" s="2"/>
      <c r="G139" s="2"/>
      <c r="K139" s="5"/>
    </row>
    <row r="140" spans="6:11" x14ac:dyDescent="0.45">
      <c r="F140" s="2"/>
      <c r="G140" s="2"/>
      <c r="K140" s="5"/>
    </row>
    <row r="141" spans="6:11" x14ac:dyDescent="0.45">
      <c r="F141" s="2"/>
      <c r="G141" s="2"/>
      <c r="K141" s="5"/>
    </row>
    <row r="142" spans="6:11" x14ac:dyDescent="0.45">
      <c r="F142" s="2"/>
      <c r="G142" s="2"/>
      <c r="K142" s="5"/>
    </row>
    <row r="143" spans="6:11" x14ac:dyDescent="0.45">
      <c r="F143" s="2"/>
      <c r="G143" s="2"/>
      <c r="K143" s="5"/>
    </row>
    <row r="144" spans="6:11" x14ac:dyDescent="0.45">
      <c r="F144" s="2"/>
      <c r="G144" s="2"/>
      <c r="K144" s="5"/>
    </row>
    <row r="145" spans="6:11" x14ac:dyDescent="0.45">
      <c r="F145" s="2"/>
      <c r="G145" s="2"/>
      <c r="K145" s="5"/>
    </row>
    <row r="146" spans="6:11" x14ac:dyDescent="0.45">
      <c r="F146" s="2"/>
      <c r="G146" s="2"/>
      <c r="K146" s="5"/>
    </row>
    <row r="147" spans="6:11" x14ac:dyDescent="0.45">
      <c r="F147" s="2"/>
      <c r="G147" s="2"/>
    </row>
    <row r="148" spans="6:11" x14ac:dyDescent="0.45">
      <c r="F148" s="2"/>
      <c r="G148" s="2"/>
    </row>
    <row r="149" spans="6:11" x14ac:dyDescent="0.45">
      <c r="F149" s="2"/>
      <c r="G149" s="2"/>
    </row>
    <row r="150" spans="6:11" x14ac:dyDescent="0.45">
      <c r="F150" s="2"/>
      <c r="G150" s="2"/>
    </row>
    <row r="151" spans="6:11" x14ac:dyDescent="0.45">
      <c r="F151" s="2"/>
      <c r="G151" s="2"/>
    </row>
    <row r="152" spans="6:11" x14ac:dyDescent="0.45">
      <c r="F152" s="2"/>
      <c r="G152" s="2"/>
    </row>
    <row r="153" spans="6:11" x14ac:dyDescent="0.45">
      <c r="F153" s="2"/>
      <c r="G153" s="2"/>
    </row>
    <row r="154" spans="6:11" x14ac:dyDescent="0.45">
      <c r="F154" s="2"/>
      <c r="G154" s="2"/>
    </row>
    <row r="155" spans="6:11" x14ac:dyDescent="0.45">
      <c r="F155" s="2"/>
      <c r="G155" s="2"/>
    </row>
    <row r="156" spans="6:11" x14ac:dyDescent="0.45">
      <c r="F156" s="2"/>
      <c r="G156" s="2"/>
    </row>
    <row r="157" spans="6:11" x14ac:dyDescent="0.45">
      <c r="F157" s="2"/>
      <c r="G157" s="2"/>
    </row>
    <row r="158" spans="6:11" x14ac:dyDescent="0.45">
      <c r="F158" s="2"/>
      <c r="G158" s="2"/>
    </row>
    <row r="159" spans="6:11" x14ac:dyDescent="0.45">
      <c r="F159" s="2"/>
      <c r="G159" s="2"/>
    </row>
    <row r="160" spans="6:11" x14ac:dyDescent="0.45">
      <c r="F160" s="2"/>
      <c r="G160" s="2"/>
    </row>
  </sheetData>
  <mergeCells count="14">
    <mergeCell ref="B2:H3"/>
    <mergeCell ref="D5:D6"/>
    <mergeCell ref="F5:F6"/>
    <mergeCell ref="G5:G6"/>
    <mergeCell ref="M2:S3"/>
    <mergeCell ref="P5:P6"/>
    <mergeCell ref="R5:R6"/>
    <mergeCell ref="S5:S6"/>
    <mergeCell ref="X5:X6"/>
    <mergeCell ref="Y5:Y6"/>
    <mergeCell ref="U2:AA3"/>
    <mergeCell ref="AJ3:AM4"/>
    <mergeCell ref="AN3:AQ4"/>
    <mergeCell ref="V5:V6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0"/>
  <sheetViews>
    <sheetView topLeftCell="BW73" workbookViewId="0">
      <selection activeCell="BZ91" sqref="A1:XFD1048576"/>
    </sheetView>
  </sheetViews>
  <sheetFormatPr defaultRowHeight="14.25" x14ac:dyDescent="0.45"/>
  <cols>
    <col min="106" max="106" width="10.796875" bestFit="1" customWidth="1"/>
  </cols>
  <sheetData>
    <row r="1" spans="1:99" x14ac:dyDescent="0.45">
      <c r="A1" t="s">
        <v>39</v>
      </c>
      <c r="T1" s="34"/>
      <c r="U1" t="s">
        <v>37</v>
      </c>
      <c r="AT1" s="36"/>
      <c r="AU1" s="36"/>
      <c r="AV1" t="s">
        <v>41</v>
      </c>
      <c r="BQ1" s="34"/>
    </row>
    <row r="2" spans="1:99" x14ac:dyDescent="0.45">
      <c r="A2" t="s">
        <v>40</v>
      </c>
      <c r="T2" s="34"/>
      <c r="U2" t="s">
        <v>38</v>
      </c>
      <c r="AT2" s="36"/>
      <c r="AU2" s="36"/>
      <c r="AV2" t="s">
        <v>42</v>
      </c>
      <c r="BQ2" s="34"/>
    </row>
    <row r="3" spans="1:99" ht="14.65" thickBot="1" x14ac:dyDescent="0.5">
      <c r="T3" s="34"/>
      <c r="AT3" s="36"/>
      <c r="AU3" s="36"/>
      <c r="BQ3" s="34"/>
    </row>
    <row r="4" spans="1:99" x14ac:dyDescent="0.45">
      <c r="B4" s="43" t="s">
        <v>29</v>
      </c>
      <c r="C4" s="44"/>
      <c r="D4" s="44"/>
      <c r="E4" s="44"/>
      <c r="F4" s="44"/>
      <c r="G4" s="44"/>
      <c r="H4" s="45"/>
      <c r="J4" s="5"/>
      <c r="L4" s="43" t="s">
        <v>30</v>
      </c>
      <c r="M4" s="44"/>
      <c r="N4" s="44"/>
      <c r="O4" s="44"/>
      <c r="P4" s="44"/>
      <c r="Q4" s="44"/>
      <c r="R4" s="45"/>
      <c r="T4" s="34"/>
      <c r="V4" s="43" t="s">
        <v>34</v>
      </c>
      <c r="W4" s="44"/>
      <c r="X4" s="44"/>
      <c r="Y4" s="44"/>
      <c r="Z4" s="44"/>
      <c r="AA4" s="44"/>
      <c r="AB4" s="44"/>
      <c r="AC4" s="44"/>
      <c r="AD4" s="44"/>
      <c r="AE4" s="45"/>
      <c r="AI4" s="43" t="s">
        <v>35</v>
      </c>
      <c r="AJ4" s="44"/>
      <c r="AK4" s="44"/>
      <c r="AL4" s="44"/>
      <c r="AM4" s="44"/>
      <c r="AN4" s="44"/>
      <c r="AO4" s="44"/>
      <c r="AP4" s="44"/>
      <c r="AQ4" s="44"/>
      <c r="AR4" s="45"/>
      <c r="AT4" s="36"/>
      <c r="AU4" s="36"/>
      <c r="AW4" s="43" t="s">
        <v>19</v>
      </c>
      <c r="AX4" s="44"/>
      <c r="AY4" s="44"/>
      <c r="AZ4" s="44"/>
      <c r="BA4" s="44"/>
      <c r="BB4" s="44"/>
      <c r="BC4" s="44"/>
      <c r="BD4" s="45"/>
      <c r="BF4" s="5"/>
      <c r="BH4" s="43" t="s">
        <v>36</v>
      </c>
      <c r="BI4" s="44"/>
      <c r="BJ4" s="44"/>
      <c r="BK4" s="44"/>
      <c r="BL4" s="44"/>
      <c r="BM4" s="44"/>
      <c r="BN4" s="44"/>
      <c r="BO4" s="45"/>
      <c r="BQ4" s="34"/>
      <c r="BS4" s="43" t="s">
        <v>19</v>
      </c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5"/>
      <c r="CG4" s="5"/>
      <c r="CI4" s="43" t="s">
        <v>19</v>
      </c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5"/>
    </row>
    <row r="5" spans="1:99" ht="14.65" thickBot="1" x14ac:dyDescent="0.5">
      <c r="B5" s="46"/>
      <c r="C5" s="47"/>
      <c r="D5" s="47"/>
      <c r="E5" s="47"/>
      <c r="F5" s="47"/>
      <c r="G5" s="47"/>
      <c r="H5" s="48"/>
      <c r="J5" s="5"/>
      <c r="L5" s="46"/>
      <c r="M5" s="47"/>
      <c r="N5" s="47"/>
      <c r="O5" s="47"/>
      <c r="P5" s="47"/>
      <c r="Q5" s="47"/>
      <c r="R5" s="48"/>
      <c r="T5" s="34"/>
      <c r="V5" s="46"/>
      <c r="W5" s="47"/>
      <c r="X5" s="47"/>
      <c r="Y5" s="47"/>
      <c r="Z5" s="47"/>
      <c r="AA5" s="47"/>
      <c r="AB5" s="47"/>
      <c r="AC5" s="47"/>
      <c r="AD5" s="47"/>
      <c r="AE5" s="48"/>
      <c r="AI5" s="46"/>
      <c r="AJ5" s="47"/>
      <c r="AK5" s="47"/>
      <c r="AL5" s="47"/>
      <c r="AM5" s="47"/>
      <c r="AN5" s="47"/>
      <c r="AO5" s="47"/>
      <c r="AP5" s="47"/>
      <c r="AQ5" s="47"/>
      <c r="AR5" s="48"/>
      <c r="AT5" s="36"/>
      <c r="AU5" s="36"/>
      <c r="AW5" s="46"/>
      <c r="AX5" s="47"/>
      <c r="AY5" s="47"/>
      <c r="AZ5" s="47"/>
      <c r="BA5" s="47"/>
      <c r="BB5" s="47"/>
      <c r="BC5" s="47"/>
      <c r="BD5" s="48"/>
      <c r="BF5" s="5"/>
      <c r="BH5" s="46"/>
      <c r="BI5" s="47"/>
      <c r="BJ5" s="47"/>
      <c r="BK5" s="47"/>
      <c r="BL5" s="47"/>
      <c r="BM5" s="47"/>
      <c r="BN5" s="47"/>
      <c r="BO5" s="48"/>
      <c r="BQ5" s="34"/>
      <c r="BS5" s="46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8"/>
      <c r="CG5" s="5"/>
      <c r="CI5" s="46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8"/>
    </row>
    <row r="6" spans="1:99" x14ac:dyDescent="0.45">
      <c r="J6" s="5"/>
      <c r="T6" s="34"/>
      <c r="AT6" s="36"/>
      <c r="AU6" s="36"/>
      <c r="BF6" s="5"/>
      <c r="BQ6" s="34"/>
      <c r="CG6" s="5"/>
    </row>
    <row r="7" spans="1:99" ht="14.25" customHeight="1" x14ac:dyDescent="0.45">
      <c r="C7" s="1" t="s">
        <v>1</v>
      </c>
      <c r="D7" s="41" t="s">
        <v>12</v>
      </c>
      <c r="F7" t="s">
        <v>28</v>
      </c>
      <c r="G7" s="41" t="s">
        <v>13</v>
      </c>
      <c r="H7" s="42" t="s">
        <v>14</v>
      </c>
      <c r="J7" s="5" t="s">
        <v>31</v>
      </c>
      <c r="M7" s="1" t="s">
        <v>1</v>
      </c>
      <c r="N7" s="41" t="s">
        <v>12</v>
      </c>
      <c r="P7" t="s">
        <v>28</v>
      </c>
      <c r="Q7" s="54" t="s">
        <v>13</v>
      </c>
      <c r="R7" s="51" t="s">
        <v>14</v>
      </c>
      <c r="T7" s="34"/>
      <c r="U7" s="22"/>
      <c r="V7" s="33" t="s">
        <v>1</v>
      </c>
      <c r="W7" s="42" t="s">
        <v>12</v>
      </c>
      <c r="X7" s="22"/>
      <c r="Y7" s="15"/>
      <c r="Z7" s="51" t="s">
        <v>32</v>
      </c>
      <c r="AA7" s="32" t="s">
        <v>33</v>
      </c>
      <c r="AB7" s="52" t="s">
        <v>12</v>
      </c>
      <c r="AC7" s="22"/>
      <c r="AD7" s="30"/>
      <c r="AE7" s="53" t="s">
        <v>32</v>
      </c>
      <c r="AG7" s="55"/>
      <c r="AH7" s="21"/>
      <c r="AI7" s="33" t="s">
        <v>1</v>
      </c>
      <c r="AJ7" s="42" t="s">
        <v>12</v>
      </c>
      <c r="AK7" s="22"/>
      <c r="AL7" s="15"/>
      <c r="AM7" s="51" t="s">
        <v>32</v>
      </c>
      <c r="AN7" s="32" t="s">
        <v>33</v>
      </c>
      <c r="AO7" s="52" t="s">
        <v>12</v>
      </c>
      <c r="AP7" s="22"/>
      <c r="AQ7" s="30"/>
      <c r="AR7" s="53" t="s">
        <v>32</v>
      </c>
      <c r="AS7" s="21"/>
      <c r="AT7" s="37"/>
      <c r="AU7" s="37"/>
      <c r="AV7" s="21"/>
      <c r="AX7" s="1" t="s">
        <v>1</v>
      </c>
      <c r="AY7" s="41" t="s">
        <v>12</v>
      </c>
      <c r="AZ7" s="41" t="s">
        <v>21</v>
      </c>
      <c r="BA7" s="41" t="s">
        <v>20</v>
      </c>
      <c r="BB7" s="41" t="s">
        <v>22</v>
      </c>
      <c r="BC7" s="41" t="s">
        <v>13</v>
      </c>
      <c r="BD7" s="42" t="s">
        <v>14</v>
      </c>
      <c r="BE7" s="21"/>
      <c r="BF7" s="5" t="s">
        <v>31</v>
      </c>
      <c r="BG7" s="21"/>
      <c r="BI7" s="1" t="s">
        <v>1</v>
      </c>
      <c r="BJ7" s="41" t="s">
        <v>12</v>
      </c>
      <c r="BK7" s="41" t="s">
        <v>21</v>
      </c>
      <c r="BL7" s="41" t="s">
        <v>20</v>
      </c>
      <c r="BM7" s="41" t="s">
        <v>22</v>
      </c>
      <c r="BN7" s="41" t="s">
        <v>13</v>
      </c>
      <c r="BO7" s="42" t="s">
        <v>14</v>
      </c>
      <c r="BP7" s="11"/>
      <c r="BQ7" s="34"/>
      <c r="BS7" s="33" t="s">
        <v>33</v>
      </c>
      <c r="BT7" s="42" t="s">
        <v>12</v>
      </c>
      <c r="BU7" s="41" t="s">
        <v>21</v>
      </c>
      <c r="BV7" s="42" t="s">
        <v>20</v>
      </c>
      <c r="BW7" s="42" t="s">
        <v>27</v>
      </c>
      <c r="BX7" s="42" t="s">
        <v>43</v>
      </c>
      <c r="BY7" s="51" t="s">
        <v>32</v>
      </c>
      <c r="BZ7" s="38" t="s">
        <v>1</v>
      </c>
      <c r="CA7" s="52" t="s">
        <v>12</v>
      </c>
      <c r="CB7" s="41" t="s">
        <v>21</v>
      </c>
      <c r="CC7" s="39"/>
      <c r="CD7" s="49" t="s">
        <v>32</v>
      </c>
      <c r="CE7" s="50" t="s">
        <v>43</v>
      </c>
      <c r="CG7" s="5" t="s">
        <v>31</v>
      </c>
      <c r="CI7" s="33" t="s">
        <v>33</v>
      </c>
      <c r="CJ7" s="42" t="s">
        <v>12</v>
      </c>
      <c r="CK7" s="41" t="s">
        <v>21</v>
      </c>
      <c r="CL7" s="42" t="s">
        <v>20</v>
      </c>
      <c r="CM7" s="42" t="s">
        <v>27</v>
      </c>
      <c r="CN7" s="42" t="s">
        <v>43</v>
      </c>
      <c r="CO7" s="51" t="s">
        <v>32</v>
      </c>
      <c r="CP7" s="38" t="s">
        <v>1</v>
      </c>
      <c r="CQ7" s="52" t="s">
        <v>12</v>
      </c>
      <c r="CR7" s="41" t="s">
        <v>21</v>
      </c>
      <c r="CS7" s="39"/>
      <c r="CT7" s="49" t="s">
        <v>32</v>
      </c>
      <c r="CU7" s="50" t="s">
        <v>43</v>
      </c>
    </row>
    <row r="8" spans="1:99" ht="14.25" customHeight="1" x14ac:dyDescent="0.45">
      <c r="C8" t="s">
        <v>11</v>
      </c>
      <c r="D8" s="41"/>
      <c r="E8" t="s">
        <v>0</v>
      </c>
      <c r="F8" t="s">
        <v>27</v>
      </c>
      <c r="G8" s="41"/>
      <c r="H8" s="42"/>
      <c r="J8" s="5"/>
      <c r="M8" t="s">
        <v>11</v>
      </c>
      <c r="N8" s="41"/>
      <c r="O8" t="s">
        <v>0</v>
      </c>
      <c r="P8" t="s">
        <v>27</v>
      </c>
      <c r="Q8" s="54"/>
      <c r="R8" s="51"/>
      <c r="T8" s="34"/>
      <c r="U8" s="22"/>
      <c r="V8" s="15"/>
      <c r="W8" s="42"/>
      <c r="X8" s="22" t="s">
        <v>0</v>
      </c>
      <c r="Y8" s="15" t="s">
        <v>27</v>
      </c>
      <c r="Z8" s="51"/>
      <c r="AA8" s="31"/>
      <c r="AB8" s="52"/>
      <c r="AC8" s="22" t="s">
        <v>0</v>
      </c>
      <c r="AD8" s="30" t="s">
        <v>27</v>
      </c>
      <c r="AE8" s="53"/>
      <c r="AG8" s="55"/>
      <c r="AH8" s="21"/>
      <c r="AI8" s="15"/>
      <c r="AJ8" s="42"/>
      <c r="AK8" s="22" t="s">
        <v>0</v>
      </c>
      <c r="AL8" s="15" t="s">
        <v>27</v>
      </c>
      <c r="AM8" s="51"/>
      <c r="AN8" s="31"/>
      <c r="AO8" s="52"/>
      <c r="AP8" s="22" t="s">
        <v>0</v>
      </c>
      <c r="AQ8" s="30" t="s">
        <v>27</v>
      </c>
      <c r="AR8" s="53"/>
      <c r="AS8" s="21"/>
      <c r="AT8" s="37"/>
      <c r="AU8" s="37"/>
      <c r="AV8" s="21"/>
      <c r="AX8" t="s">
        <v>11</v>
      </c>
      <c r="AY8" s="41"/>
      <c r="AZ8" s="41"/>
      <c r="BA8" s="41"/>
      <c r="BB8" s="41"/>
      <c r="BC8" s="41"/>
      <c r="BD8" s="42"/>
      <c r="BE8" s="21"/>
      <c r="BF8" s="5"/>
      <c r="BG8" s="21"/>
      <c r="BI8" t="s">
        <v>11</v>
      </c>
      <c r="BJ8" s="41"/>
      <c r="BK8" s="41"/>
      <c r="BL8" s="41"/>
      <c r="BM8" s="41"/>
      <c r="BN8" s="41"/>
      <c r="BO8" s="42"/>
      <c r="BP8" s="11"/>
      <c r="BQ8" s="34"/>
      <c r="BS8" s="15"/>
      <c r="BT8" s="42"/>
      <c r="BU8" s="41"/>
      <c r="BV8" s="42"/>
      <c r="BW8" s="42"/>
      <c r="BX8" s="42"/>
      <c r="BY8" s="51"/>
      <c r="BZ8" s="31"/>
      <c r="CA8" s="52"/>
      <c r="CB8" s="41"/>
      <c r="CC8" s="39" t="s">
        <v>27</v>
      </c>
      <c r="CD8" s="49"/>
      <c r="CE8" s="50"/>
      <c r="CF8" s="6"/>
      <c r="CG8" s="5"/>
      <c r="CH8" s="11"/>
      <c r="CI8" s="15"/>
      <c r="CJ8" s="42"/>
      <c r="CK8" s="41"/>
      <c r="CL8" s="42"/>
      <c r="CM8" s="42"/>
      <c r="CN8" s="42"/>
      <c r="CO8" s="51"/>
      <c r="CP8" s="31"/>
      <c r="CQ8" s="52"/>
      <c r="CR8" s="41"/>
      <c r="CS8" s="39" t="s">
        <v>27</v>
      </c>
      <c r="CT8" s="49"/>
      <c r="CU8" s="50"/>
    </row>
    <row r="9" spans="1:99" x14ac:dyDescent="0.45">
      <c r="B9">
        <v>1</v>
      </c>
      <c r="C9">
        <v>20</v>
      </c>
      <c r="D9">
        <v>20</v>
      </c>
      <c r="E9" s="2">
        <v>20.074999999999999</v>
      </c>
      <c r="F9" s="23">
        <f>E9-0</f>
        <v>20.074999999999999</v>
      </c>
      <c r="G9" s="6">
        <f>E9-D9</f>
        <v>7.4999999999999289E-2</v>
      </c>
      <c r="H9" s="12">
        <f>G9</f>
        <v>7.4999999999999289E-2</v>
      </c>
      <c r="J9" s="20">
        <f t="shared" ref="J9:J40" si="0">R9-H9</f>
        <v>-0.46000000000000085</v>
      </c>
      <c r="K9" s="2"/>
      <c r="L9">
        <v>1</v>
      </c>
      <c r="M9">
        <v>20</v>
      </c>
      <c r="N9">
        <v>20</v>
      </c>
      <c r="O9" s="2">
        <v>19.614999999999998</v>
      </c>
      <c r="P9" s="23">
        <f>O9-0</f>
        <v>19.614999999999998</v>
      </c>
      <c r="Q9" s="6">
        <f>O9-N9</f>
        <v>-0.38500000000000156</v>
      </c>
      <c r="R9" s="27">
        <f>Q9</f>
        <v>-0.38500000000000156</v>
      </c>
      <c r="S9" s="2"/>
      <c r="T9" s="35"/>
      <c r="U9" s="19"/>
      <c r="V9" s="15">
        <v>1</v>
      </c>
      <c r="W9" s="15">
        <v>20</v>
      </c>
      <c r="X9" s="19">
        <v>19.64</v>
      </c>
      <c r="Y9" s="12">
        <f>X9-0</f>
        <v>19.64</v>
      </c>
      <c r="Z9" s="27">
        <f>Y9-W9</f>
        <v>-0.35999999999999943</v>
      </c>
      <c r="AA9" s="30">
        <v>2</v>
      </c>
      <c r="AB9" s="30">
        <v>0</v>
      </c>
      <c r="AC9" s="19">
        <v>0.54500000000000004</v>
      </c>
      <c r="AD9" s="28">
        <f>X9-AC9</f>
        <v>19.094999999999999</v>
      </c>
      <c r="AE9" s="29">
        <f>AD9-W9</f>
        <v>-0.90500000000000114</v>
      </c>
      <c r="AF9" s="19"/>
      <c r="AG9" s="20">
        <f>AK9-X9</f>
        <v>-0.125</v>
      </c>
      <c r="AI9" s="15">
        <v>1</v>
      </c>
      <c r="AJ9" s="15">
        <v>20</v>
      </c>
      <c r="AK9" s="2">
        <v>19.515000000000001</v>
      </c>
      <c r="AL9" s="12">
        <f>AK9-0</f>
        <v>19.515000000000001</v>
      </c>
      <c r="AM9" s="27">
        <f>AL9-AJ9</f>
        <v>-0.48499999999999943</v>
      </c>
      <c r="AN9" s="30">
        <v>2</v>
      </c>
      <c r="AO9" s="30">
        <v>0</v>
      </c>
      <c r="AP9" s="19">
        <v>0.77</v>
      </c>
      <c r="AQ9" s="28">
        <f>AK9-AP9</f>
        <v>18.745000000000001</v>
      </c>
      <c r="AR9" s="29">
        <f>AQ9-AJ9</f>
        <v>-1.254999999999999</v>
      </c>
      <c r="AT9" s="36"/>
      <c r="AU9" s="36"/>
      <c r="AW9">
        <f t="shared" ref="AW9:AW72" si="1">AW10+1</f>
        <v>76</v>
      </c>
      <c r="AX9">
        <f t="shared" ref="AX9:AX72" si="2">AX10</f>
        <v>-20</v>
      </c>
      <c r="AY9">
        <f t="shared" ref="AY9:AY72" si="3">AY10+AX9</f>
        <v>0</v>
      </c>
      <c r="AZ9" s="2">
        <v>-1518.15</v>
      </c>
      <c r="BA9" s="2">
        <f t="shared" ref="BA9:BA72" si="4">BA10+BB9</f>
        <v>1.8499999999994543</v>
      </c>
      <c r="BB9" s="23">
        <f t="shared" ref="BB9:BB72" si="5">AZ9-AZ10</f>
        <v>-19.915000000000191</v>
      </c>
      <c r="BC9" s="6">
        <f t="shared" ref="BC9:BC72" si="6">AY9-BA9</f>
        <v>-1.8499999999994543</v>
      </c>
      <c r="BD9" s="12">
        <f t="shared" ref="BD9:BD72" si="7">AX9-BB9</f>
        <v>-8.4999999999809006E-2</v>
      </c>
      <c r="BF9" s="20">
        <f>BM9-BB9</f>
        <v>3.5000000000309228E-2</v>
      </c>
      <c r="BH9">
        <f t="shared" ref="BH9:BH72" si="8">BH10+1</f>
        <v>76</v>
      </c>
      <c r="BI9">
        <f t="shared" ref="BI9:BI72" si="9">BI10</f>
        <v>-20</v>
      </c>
      <c r="BJ9">
        <f t="shared" ref="BJ9:BJ72" si="10">BJ10+BI9</f>
        <v>0</v>
      </c>
      <c r="BK9" s="2">
        <v>-1518.135</v>
      </c>
      <c r="BL9" s="2">
        <f t="shared" ref="BL9:BL72" si="11">BL10+BM9</f>
        <v>1.864999999999327</v>
      </c>
      <c r="BM9" s="23">
        <f t="shared" ref="BM9:BM49" si="12">BK9-BK10</f>
        <v>-19.879999999999882</v>
      </c>
      <c r="BN9" s="6">
        <f t="shared" ref="BN9:BN72" si="13">BJ9-BL9</f>
        <v>-1.864999999999327</v>
      </c>
      <c r="BO9" s="12">
        <f t="shared" ref="BO9:BO72" si="14">BI9-BM9</f>
        <v>-0.12000000000011823</v>
      </c>
      <c r="BP9" s="10"/>
      <c r="BQ9" s="35"/>
      <c r="BR9" s="8"/>
      <c r="BS9" s="15">
        <f t="shared" ref="BS9:BS72" si="15">BS10+2</f>
        <v>151</v>
      </c>
      <c r="BT9" s="15">
        <f t="shared" ref="BT9:BT72" si="16">BT10-20</f>
        <v>0</v>
      </c>
      <c r="BU9" s="2">
        <v>-1518.135</v>
      </c>
      <c r="BV9" s="12">
        <f t="shared" ref="BV9:BV72" si="17">1520-BW9</f>
        <v>2.4950000000001182</v>
      </c>
      <c r="BW9" s="12">
        <f t="shared" ref="BW9:BW72" si="18">CB10-BU9</f>
        <v>1517.5049999999999</v>
      </c>
      <c r="BX9" s="12">
        <f t="shared" ref="BX9:BX72" si="19">BX10-20</f>
        <v>-1520</v>
      </c>
      <c r="BY9" s="27">
        <f t="shared" ref="BY9:BY72" si="20">BT9-BV9</f>
        <v>-2.4950000000001182</v>
      </c>
      <c r="BZ9" s="30">
        <f t="shared" ref="BZ9:BZ72" si="21">BZ10+2</f>
        <v>152</v>
      </c>
      <c r="CA9" s="30">
        <v>0</v>
      </c>
      <c r="CB9">
        <v>-0.63500000000000001</v>
      </c>
      <c r="CC9" s="40">
        <f t="shared" ref="CC9:CC72" si="22">CB9-BU9</f>
        <v>1517.5</v>
      </c>
      <c r="CD9" s="40">
        <f t="shared" ref="CD9:CD72" si="23">CC9-CE9</f>
        <v>-2.5</v>
      </c>
      <c r="CE9" s="40">
        <f t="shared" ref="CE9:CE72" si="24">CE10+20</f>
        <v>1520</v>
      </c>
      <c r="CF9" s="6"/>
      <c r="CG9" s="20">
        <f>BU9-CK9</f>
        <v>0.12000000000011823</v>
      </c>
      <c r="CH9" s="11"/>
      <c r="CI9" s="15">
        <f t="shared" ref="CI9:CI72" si="25">CI10+2</f>
        <v>151</v>
      </c>
      <c r="CJ9" s="15">
        <f t="shared" ref="CJ9:CJ72" si="26">CJ10-20</f>
        <v>0</v>
      </c>
      <c r="CK9" s="2">
        <v>-1518.2550000000001</v>
      </c>
      <c r="CL9" s="12">
        <f t="shared" ref="CL9:CL72" si="27">1520-CM9</f>
        <v>2.4649999999999181</v>
      </c>
      <c r="CM9" s="12">
        <f t="shared" ref="CM9:CM72" si="28">CR10-CK9</f>
        <v>1517.5350000000001</v>
      </c>
      <c r="CN9" s="12">
        <f t="shared" ref="CN9:CN72" si="29">CN10-20</f>
        <v>-1520</v>
      </c>
      <c r="CO9" s="27">
        <f t="shared" ref="CO9:CO72" si="30">CJ9-CL9</f>
        <v>-2.4649999999999181</v>
      </c>
      <c r="CP9" s="30">
        <f t="shared" ref="CP9:CP72" si="31">CP10+2</f>
        <v>152</v>
      </c>
      <c r="CQ9" s="30">
        <v>0</v>
      </c>
      <c r="CR9">
        <v>-0.72</v>
      </c>
      <c r="CS9" s="40">
        <f t="shared" ref="CS9:CS72" si="32">CR9-CK9</f>
        <v>1517.5350000000001</v>
      </c>
      <c r="CT9" s="40">
        <f t="shared" ref="CT9:CT72" si="33">CS9-CU9</f>
        <v>-2.4649999999999181</v>
      </c>
      <c r="CU9" s="40">
        <f t="shared" ref="CU9:CU72" si="34">CU10+20</f>
        <v>1520</v>
      </c>
    </row>
    <row r="10" spans="1:99" x14ac:dyDescent="0.45">
      <c r="B10">
        <f>B9+1</f>
        <v>2</v>
      </c>
      <c r="C10">
        <v>20</v>
      </c>
      <c r="D10">
        <f>D9+C10</f>
        <v>40</v>
      </c>
      <c r="E10" s="2">
        <v>40.1</v>
      </c>
      <c r="F10" s="23">
        <f>E10-E9</f>
        <v>20.025000000000002</v>
      </c>
      <c r="G10" s="6">
        <f t="shared" ref="G10:G73" si="35">E10-D10</f>
        <v>0.10000000000000142</v>
      </c>
      <c r="H10" s="12">
        <f>(E10-E9)-C10</f>
        <v>2.5000000000002132E-2</v>
      </c>
      <c r="J10" s="20">
        <f t="shared" si="0"/>
        <v>-4.5000000000001705E-2</v>
      </c>
      <c r="K10" s="2"/>
      <c r="L10">
        <f>L9+1</f>
        <v>2</v>
      </c>
      <c r="M10">
        <v>20</v>
      </c>
      <c r="N10">
        <f>N9+M10</f>
        <v>40</v>
      </c>
      <c r="O10" s="2">
        <v>39.594999999999999</v>
      </c>
      <c r="P10" s="23">
        <f>O10-O9</f>
        <v>19.98</v>
      </c>
      <c r="Q10" s="6">
        <f t="shared" ref="Q10:Q73" si="36">O10-N10</f>
        <v>-0.40500000000000114</v>
      </c>
      <c r="R10" s="27">
        <f>(O10-O9)-M10</f>
        <v>-1.9999999999999574E-2</v>
      </c>
      <c r="S10" s="2"/>
      <c r="T10" s="35"/>
      <c r="U10" s="19"/>
      <c r="V10" s="15">
        <f>V9+2</f>
        <v>3</v>
      </c>
      <c r="W10" s="15">
        <f>W9+20</f>
        <v>40</v>
      </c>
      <c r="X10" s="19">
        <v>39.72</v>
      </c>
      <c r="Y10" s="12">
        <f>X10-AC9</f>
        <v>39.174999999999997</v>
      </c>
      <c r="Z10" s="27">
        <f>Y10-W10</f>
        <v>-0.82500000000000284</v>
      </c>
      <c r="AA10" s="30">
        <f>AA9+2</f>
        <v>4</v>
      </c>
      <c r="AB10" s="30">
        <v>0</v>
      </c>
      <c r="AC10" s="19">
        <v>0.53500000000000003</v>
      </c>
      <c r="AD10" s="28">
        <f t="shared" ref="AD10:AD73" si="37">X10-AC10</f>
        <v>39.185000000000002</v>
      </c>
      <c r="AE10" s="29">
        <f t="shared" ref="AE10:AE73" si="38">AD10-W10</f>
        <v>-0.81499999999999773</v>
      </c>
      <c r="AF10" s="19"/>
      <c r="AG10" s="20">
        <f t="shared" ref="AG10:AG73" si="39">AK10-X10</f>
        <v>-4.5000000000001705E-2</v>
      </c>
      <c r="AI10" s="15">
        <f>AI9+2</f>
        <v>3</v>
      </c>
      <c r="AJ10" s="15">
        <f>AJ9+20</f>
        <v>40</v>
      </c>
      <c r="AK10" s="2">
        <v>39.674999999999997</v>
      </c>
      <c r="AL10" s="12">
        <f>AK10-AP9</f>
        <v>38.904999999999994</v>
      </c>
      <c r="AM10" s="27">
        <f>AL10-AJ10</f>
        <v>-1.095000000000006</v>
      </c>
      <c r="AN10" s="30">
        <f>AN9+2</f>
        <v>4</v>
      </c>
      <c r="AO10" s="30">
        <v>0</v>
      </c>
      <c r="AP10" s="19">
        <v>0.69499999999999995</v>
      </c>
      <c r="AQ10" s="28">
        <f t="shared" ref="AQ10:AQ73" si="40">AK10-AP10</f>
        <v>38.979999999999997</v>
      </c>
      <c r="AR10" s="29">
        <f t="shared" ref="AR10:AR73" si="41">AQ10-AJ10</f>
        <v>-1.0200000000000031</v>
      </c>
      <c r="AT10" s="36"/>
      <c r="AU10" s="36"/>
      <c r="AW10">
        <f t="shared" si="1"/>
        <v>75</v>
      </c>
      <c r="AX10">
        <f t="shared" si="2"/>
        <v>-20</v>
      </c>
      <c r="AY10">
        <f t="shared" si="3"/>
        <v>20</v>
      </c>
      <c r="AZ10" s="2">
        <v>-1498.2349999999999</v>
      </c>
      <c r="BA10" s="2">
        <f t="shared" si="4"/>
        <v>21.764999999999645</v>
      </c>
      <c r="BB10" s="23">
        <f t="shared" si="5"/>
        <v>-19.994999999999891</v>
      </c>
      <c r="BC10" s="6">
        <f t="shared" si="6"/>
        <v>-1.7649999999996453</v>
      </c>
      <c r="BD10" s="12">
        <f t="shared" si="7"/>
        <v>-5.0000000001091394E-3</v>
      </c>
      <c r="BF10" s="20">
        <f t="shared" ref="BF10:BF73" si="42">BM10-BB10</f>
        <v>1.4999999999872671E-2</v>
      </c>
      <c r="BH10">
        <f t="shared" si="8"/>
        <v>75</v>
      </c>
      <c r="BI10">
        <f t="shared" si="9"/>
        <v>-20</v>
      </c>
      <c r="BJ10">
        <f t="shared" si="10"/>
        <v>20</v>
      </c>
      <c r="BK10" s="2">
        <v>-1498.2550000000001</v>
      </c>
      <c r="BL10" s="2">
        <f t="shared" si="11"/>
        <v>21.744999999999209</v>
      </c>
      <c r="BM10" s="23">
        <f t="shared" si="12"/>
        <v>-19.980000000000018</v>
      </c>
      <c r="BN10" s="6">
        <f t="shared" si="13"/>
        <v>-1.7449999999992087</v>
      </c>
      <c r="BO10" s="12">
        <f t="shared" si="14"/>
        <v>-1.999999999998181E-2</v>
      </c>
      <c r="BP10" s="10"/>
      <c r="BQ10" s="35"/>
      <c r="BR10" s="8"/>
      <c r="BS10" s="15">
        <f t="shared" si="15"/>
        <v>149</v>
      </c>
      <c r="BT10" s="15">
        <f t="shared" si="16"/>
        <v>20</v>
      </c>
      <c r="BU10" s="2">
        <v>-1498.2550000000001</v>
      </c>
      <c r="BV10" s="12">
        <f t="shared" si="17"/>
        <v>22.375</v>
      </c>
      <c r="BW10" s="12">
        <f t="shared" si="18"/>
        <v>1497.625</v>
      </c>
      <c r="BX10" s="12">
        <f t="shared" si="19"/>
        <v>-1500</v>
      </c>
      <c r="BY10" s="27">
        <f t="shared" si="20"/>
        <v>-2.375</v>
      </c>
      <c r="BZ10" s="30">
        <f t="shared" si="21"/>
        <v>150</v>
      </c>
      <c r="CA10" s="30">
        <v>0</v>
      </c>
      <c r="CB10">
        <v>-0.63</v>
      </c>
      <c r="CC10" s="40">
        <f t="shared" si="22"/>
        <v>1497.625</v>
      </c>
      <c r="CD10" s="40">
        <f t="shared" si="23"/>
        <v>-2.375</v>
      </c>
      <c r="CE10" s="40">
        <f t="shared" si="24"/>
        <v>1500</v>
      </c>
      <c r="CF10" s="6"/>
      <c r="CG10" s="20">
        <f t="shared" ref="CG10:CG73" si="43">BU10-CK10</f>
        <v>0.15999999999985448</v>
      </c>
      <c r="CH10" s="10"/>
      <c r="CI10" s="15">
        <f t="shared" si="25"/>
        <v>149</v>
      </c>
      <c r="CJ10" s="15">
        <f t="shared" si="26"/>
        <v>20</v>
      </c>
      <c r="CK10" s="2">
        <v>-1498.415</v>
      </c>
      <c r="CL10" s="12">
        <f t="shared" si="27"/>
        <v>22.305000000000064</v>
      </c>
      <c r="CM10" s="12">
        <f t="shared" si="28"/>
        <v>1497.6949999999999</v>
      </c>
      <c r="CN10" s="12">
        <f t="shared" si="29"/>
        <v>-1500</v>
      </c>
      <c r="CO10" s="27">
        <f t="shared" si="30"/>
        <v>-2.3050000000000637</v>
      </c>
      <c r="CP10" s="30">
        <f t="shared" si="31"/>
        <v>150</v>
      </c>
      <c r="CQ10" s="30">
        <v>0</v>
      </c>
      <c r="CR10">
        <v>-0.72</v>
      </c>
      <c r="CS10" s="40">
        <f t="shared" si="32"/>
        <v>1497.6949999999999</v>
      </c>
      <c r="CT10" s="40">
        <f t="shared" si="33"/>
        <v>-2.3050000000000637</v>
      </c>
      <c r="CU10" s="40">
        <f t="shared" si="34"/>
        <v>1500</v>
      </c>
    </row>
    <row r="11" spans="1:99" x14ac:dyDescent="0.45">
      <c r="B11">
        <f t="shared" ref="B11:B74" si="44">B10+1</f>
        <v>3</v>
      </c>
      <c r="C11">
        <v>20</v>
      </c>
      <c r="D11">
        <f t="shared" ref="D11:D74" si="45">D10+C11</f>
        <v>60</v>
      </c>
      <c r="E11" s="2">
        <v>60.15</v>
      </c>
      <c r="F11" s="23">
        <f t="shared" ref="F11:F74" si="46">E11-E10</f>
        <v>20.049999999999997</v>
      </c>
      <c r="G11" s="6">
        <f t="shared" si="35"/>
        <v>0.14999999999999858</v>
      </c>
      <c r="H11" s="12">
        <f t="shared" ref="H11:H74" si="47">(E11-E10)-C11</f>
        <v>4.9999999999997158E-2</v>
      </c>
      <c r="J11" s="20">
        <f t="shared" si="0"/>
        <v>-9.9999999999980105E-3</v>
      </c>
      <c r="K11" s="2"/>
      <c r="L11">
        <f t="shared" ref="L11" si="48">L10+1</f>
        <v>3</v>
      </c>
      <c r="M11">
        <v>20</v>
      </c>
      <c r="N11">
        <f t="shared" ref="N11:N74" si="49">N10+M11</f>
        <v>60</v>
      </c>
      <c r="O11" s="2">
        <v>59.634999999999998</v>
      </c>
      <c r="P11" s="23">
        <f t="shared" ref="P11:P74" si="50">O11-O10</f>
        <v>20.04</v>
      </c>
      <c r="Q11" s="6">
        <f t="shared" si="36"/>
        <v>-0.36500000000000199</v>
      </c>
      <c r="R11" s="27">
        <f t="shared" ref="R11:R74" si="51">(O11-O10)-M11</f>
        <v>3.9999999999999147E-2</v>
      </c>
      <c r="S11" s="2"/>
      <c r="T11" s="35"/>
      <c r="U11" s="19"/>
      <c r="V11" s="15">
        <f t="shared" ref="V11:V74" si="52">V10+2</f>
        <v>5</v>
      </c>
      <c r="W11" s="15">
        <f t="shared" ref="W11:W74" si="53">W10+20</f>
        <v>60</v>
      </c>
      <c r="X11" s="19">
        <v>59.79</v>
      </c>
      <c r="Y11" s="12">
        <f t="shared" ref="Y11:Y74" si="54">X11-AC10</f>
        <v>59.255000000000003</v>
      </c>
      <c r="Z11" s="27">
        <f t="shared" ref="Z11:Z74" si="55">Y11-W11</f>
        <v>-0.74499999999999744</v>
      </c>
      <c r="AA11" s="30">
        <f t="shared" ref="AA11:AA74" si="56">AA10+2</f>
        <v>6</v>
      </c>
      <c r="AB11" s="30">
        <v>0</v>
      </c>
      <c r="AC11" s="19">
        <v>0.48</v>
      </c>
      <c r="AD11" s="28">
        <f t="shared" si="37"/>
        <v>59.31</v>
      </c>
      <c r="AE11" s="29">
        <f t="shared" si="38"/>
        <v>-0.68999999999999773</v>
      </c>
      <c r="AF11" s="19"/>
      <c r="AG11" s="20">
        <f t="shared" si="39"/>
        <v>0.17999999999999972</v>
      </c>
      <c r="AI11" s="15">
        <f t="shared" ref="AI11:AI74" si="57">AI10+2</f>
        <v>5</v>
      </c>
      <c r="AJ11" s="15">
        <f t="shared" ref="AJ11:AJ74" si="58">AJ10+20</f>
        <v>60</v>
      </c>
      <c r="AK11" s="2">
        <v>59.97</v>
      </c>
      <c r="AL11" s="12">
        <f t="shared" ref="AL11:AL74" si="59">AK11-AP10</f>
        <v>59.274999999999999</v>
      </c>
      <c r="AM11" s="27">
        <f t="shared" ref="AM11:AM74" si="60">AL11-AJ11</f>
        <v>-0.72500000000000142</v>
      </c>
      <c r="AN11" s="30">
        <f t="shared" ref="AN11:AN74" si="61">AN10+2</f>
        <v>6</v>
      </c>
      <c r="AO11" s="30">
        <v>0</v>
      </c>
      <c r="AP11" s="19">
        <v>0.56000000000000005</v>
      </c>
      <c r="AQ11" s="28">
        <f t="shared" si="40"/>
        <v>59.41</v>
      </c>
      <c r="AR11" s="29">
        <f t="shared" si="41"/>
        <v>-0.59000000000000341</v>
      </c>
      <c r="AT11" s="36"/>
      <c r="AU11" s="36"/>
      <c r="AW11">
        <f t="shared" si="1"/>
        <v>74</v>
      </c>
      <c r="AX11">
        <f t="shared" si="2"/>
        <v>-20</v>
      </c>
      <c r="AY11">
        <f t="shared" si="3"/>
        <v>40</v>
      </c>
      <c r="AZ11" s="2">
        <v>-1478.24</v>
      </c>
      <c r="BA11" s="2">
        <f t="shared" si="4"/>
        <v>41.759999999999536</v>
      </c>
      <c r="BB11" s="23">
        <f t="shared" si="5"/>
        <v>-19.980000000000018</v>
      </c>
      <c r="BC11" s="6">
        <f t="shared" si="6"/>
        <v>-1.7599999999995362</v>
      </c>
      <c r="BD11" s="12">
        <f t="shared" si="7"/>
        <v>-1.999999999998181E-2</v>
      </c>
      <c r="BF11" s="20">
        <f t="shared" si="42"/>
        <v>3.4999999999854481E-2</v>
      </c>
      <c r="BH11">
        <f t="shared" si="8"/>
        <v>74</v>
      </c>
      <c r="BI11">
        <f t="shared" si="9"/>
        <v>-20</v>
      </c>
      <c r="BJ11">
        <f t="shared" si="10"/>
        <v>40</v>
      </c>
      <c r="BK11" s="2">
        <v>-1478.2750000000001</v>
      </c>
      <c r="BL11" s="2">
        <f t="shared" si="11"/>
        <v>41.724999999999227</v>
      </c>
      <c r="BM11" s="23">
        <f t="shared" si="12"/>
        <v>-19.945000000000164</v>
      </c>
      <c r="BN11" s="6">
        <f t="shared" si="13"/>
        <v>-1.7249999999992269</v>
      </c>
      <c r="BO11" s="12">
        <f t="shared" si="14"/>
        <v>-5.4999999999836291E-2</v>
      </c>
      <c r="BP11" s="10"/>
      <c r="BQ11" s="35"/>
      <c r="BR11" s="8"/>
      <c r="BS11" s="15">
        <f t="shared" si="15"/>
        <v>147</v>
      </c>
      <c r="BT11" s="15">
        <f t="shared" si="16"/>
        <v>40</v>
      </c>
      <c r="BU11" s="2">
        <v>-1478.2750000000001</v>
      </c>
      <c r="BV11" s="12">
        <f t="shared" si="17"/>
        <v>42.3449999999998</v>
      </c>
      <c r="BW11" s="12">
        <f t="shared" si="18"/>
        <v>1477.6550000000002</v>
      </c>
      <c r="BX11" s="12">
        <f t="shared" si="19"/>
        <v>-1480</v>
      </c>
      <c r="BY11" s="27">
        <f t="shared" si="20"/>
        <v>-2.3449999999997999</v>
      </c>
      <c r="BZ11" s="30">
        <f t="shared" si="21"/>
        <v>148</v>
      </c>
      <c r="CA11" s="30">
        <v>0</v>
      </c>
      <c r="CB11">
        <v>-0.63</v>
      </c>
      <c r="CC11" s="40">
        <f t="shared" si="22"/>
        <v>1477.645</v>
      </c>
      <c r="CD11" s="40">
        <f t="shared" si="23"/>
        <v>-2.3550000000000182</v>
      </c>
      <c r="CE11" s="40">
        <f t="shared" si="24"/>
        <v>1480</v>
      </c>
      <c r="CF11" s="6"/>
      <c r="CG11" s="20">
        <f t="shared" si="43"/>
        <v>0.15499999999997272</v>
      </c>
      <c r="CH11" s="10"/>
      <c r="CI11" s="15">
        <f t="shared" si="25"/>
        <v>147</v>
      </c>
      <c r="CJ11" s="15">
        <f t="shared" si="26"/>
        <v>40</v>
      </c>
      <c r="CK11" s="2">
        <v>-1478.43</v>
      </c>
      <c r="CL11" s="12">
        <f t="shared" si="27"/>
        <v>42.279999999999973</v>
      </c>
      <c r="CM11" s="12">
        <f t="shared" si="28"/>
        <v>1477.72</v>
      </c>
      <c r="CN11" s="12">
        <f t="shared" si="29"/>
        <v>-1480</v>
      </c>
      <c r="CO11" s="27">
        <f t="shared" si="30"/>
        <v>-2.2799999999999727</v>
      </c>
      <c r="CP11" s="30">
        <f t="shared" si="31"/>
        <v>148</v>
      </c>
      <c r="CQ11" s="30">
        <v>0</v>
      </c>
      <c r="CR11">
        <v>-0.72</v>
      </c>
      <c r="CS11" s="40">
        <f t="shared" si="32"/>
        <v>1477.71</v>
      </c>
      <c r="CT11" s="40">
        <f t="shared" si="33"/>
        <v>-2.2899999999999636</v>
      </c>
      <c r="CU11" s="40">
        <f t="shared" si="34"/>
        <v>1480</v>
      </c>
    </row>
    <row r="12" spans="1:99" x14ac:dyDescent="0.45">
      <c r="B12">
        <f t="shared" si="44"/>
        <v>4</v>
      </c>
      <c r="C12">
        <v>20</v>
      </c>
      <c r="D12">
        <f t="shared" si="45"/>
        <v>80</v>
      </c>
      <c r="E12" s="2">
        <v>80.150000000000006</v>
      </c>
      <c r="F12" s="23">
        <f t="shared" si="46"/>
        <v>20.000000000000007</v>
      </c>
      <c r="G12" s="6">
        <f t="shared" si="35"/>
        <v>0.15000000000000568</v>
      </c>
      <c r="H12" s="12">
        <f t="shared" si="47"/>
        <v>0</v>
      </c>
      <c r="J12" s="20">
        <f t="shared" si="0"/>
        <v>5.000000000002558E-3</v>
      </c>
      <c r="K12" s="2"/>
      <c r="L12">
        <f t="shared" ref="L12" si="62">L11+1</f>
        <v>4</v>
      </c>
      <c r="M12">
        <v>20</v>
      </c>
      <c r="N12">
        <f t="shared" si="49"/>
        <v>80</v>
      </c>
      <c r="O12" s="2">
        <v>79.64</v>
      </c>
      <c r="P12" s="23">
        <f t="shared" si="50"/>
        <v>20.005000000000003</v>
      </c>
      <c r="Q12" s="6">
        <f t="shared" si="36"/>
        <v>-0.35999999999999943</v>
      </c>
      <c r="R12" s="27">
        <f t="shared" si="51"/>
        <v>5.000000000002558E-3</v>
      </c>
      <c r="S12" s="2"/>
      <c r="T12" s="35"/>
      <c r="U12" s="19"/>
      <c r="V12" s="15">
        <f t="shared" si="52"/>
        <v>7</v>
      </c>
      <c r="W12" s="15">
        <f t="shared" si="53"/>
        <v>80</v>
      </c>
      <c r="X12" s="19">
        <v>79.81</v>
      </c>
      <c r="Y12" s="12">
        <f t="shared" si="54"/>
        <v>79.33</v>
      </c>
      <c r="Z12" s="27">
        <f t="shared" si="55"/>
        <v>-0.67000000000000171</v>
      </c>
      <c r="AA12" s="30">
        <f t="shared" si="56"/>
        <v>8</v>
      </c>
      <c r="AB12" s="30">
        <v>0</v>
      </c>
      <c r="AC12" s="19">
        <v>0.49</v>
      </c>
      <c r="AD12" s="28">
        <f t="shared" si="37"/>
        <v>79.320000000000007</v>
      </c>
      <c r="AE12" s="29">
        <f t="shared" si="38"/>
        <v>-0.67999999999999261</v>
      </c>
      <c r="AF12" s="19"/>
      <c r="AG12" s="20">
        <f t="shared" si="39"/>
        <v>0.28999999999999204</v>
      </c>
      <c r="AI12" s="15">
        <f t="shared" si="57"/>
        <v>7</v>
      </c>
      <c r="AJ12" s="15">
        <f t="shared" si="58"/>
        <v>80</v>
      </c>
      <c r="AK12" s="2">
        <v>80.099999999999994</v>
      </c>
      <c r="AL12" s="12">
        <f t="shared" si="59"/>
        <v>79.539999999999992</v>
      </c>
      <c r="AM12" s="27">
        <f t="shared" si="60"/>
        <v>-0.46000000000000796</v>
      </c>
      <c r="AN12" s="30">
        <f t="shared" si="61"/>
        <v>8</v>
      </c>
      <c r="AO12" s="30">
        <v>0</v>
      </c>
      <c r="AP12" s="19">
        <v>0.59</v>
      </c>
      <c r="AQ12" s="28">
        <f t="shared" si="40"/>
        <v>79.509999999999991</v>
      </c>
      <c r="AR12" s="29">
        <f t="shared" si="41"/>
        <v>-0.49000000000000909</v>
      </c>
      <c r="AT12" s="36"/>
      <c r="AU12" s="36"/>
      <c r="AW12">
        <f t="shared" si="1"/>
        <v>73</v>
      </c>
      <c r="AX12">
        <f t="shared" si="2"/>
        <v>-20</v>
      </c>
      <c r="AY12">
        <f t="shared" si="3"/>
        <v>60</v>
      </c>
      <c r="AZ12" s="2">
        <v>-1458.26</v>
      </c>
      <c r="BA12" s="2">
        <f t="shared" si="4"/>
        <v>61.739999999999554</v>
      </c>
      <c r="BB12" s="23">
        <f t="shared" si="5"/>
        <v>-20.045000000000073</v>
      </c>
      <c r="BC12" s="6">
        <f t="shared" si="6"/>
        <v>-1.7399999999995543</v>
      </c>
      <c r="BD12" s="12">
        <f t="shared" si="7"/>
        <v>4.500000000007276E-2</v>
      </c>
      <c r="BF12" s="20">
        <f t="shared" si="42"/>
        <v>5.0000000001091394E-3</v>
      </c>
      <c r="BH12">
        <f t="shared" si="8"/>
        <v>73</v>
      </c>
      <c r="BI12">
        <f t="shared" si="9"/>
        <v>-20</v>
      </c>
      <c r="BJ12">
        <f t="shared" si="10"/>
        <v>60</v>
      </c>
      <c r="BK12" s="2">
        <v>-1458.33</v>
      </c>
      <c r="BL12" s="2">
        <f t="shared" si="11"/>
        <v>61.669999999999391</v>
      </c>
      <c r="BM12" s="23">
        <f t="shared" si="12"/>
        <v>-20.039999999999964</v>
      </c>
      <c r="BN12" s="6">
        <f t="shared" si="13"/>
        <v>-1.6699999999993906</v>
      </c>
      <c r="BO12" s="12">
        <f t="shared" si="14"/>
        <v>3.999999999996362E-2</v>
      </c>
      <c r="BP12" s="10"/>
      <c r="BQ12" s="35"/>
      <c r="BR12" s="8"/>
      <c r="BS12" s="15">
        <f t="shared" si="15"/>
        <v>145</v>
      </c>
      <c r="BT12" s="15">
        <f t="shared" si="16"/>
        <v>60</v>
      </c>
      <c r="BU12" s="2">
        <v>-1458.33</v>
      </c>
      <c r="BV12" s="12">
        <f t="shared" si="17"/>
        <v>62.289999999999964</v>
      </c>
      <c r="BW12" s="12">
        <f t="shared" si="18"/>
        <v>1457.71</v>
      </c>
      <c r="BX12" s="12">
        <f t="shared" si="19"/>
        <v>-1460</v>
      </c>
      <c r="BY12" s="27">
        <f t="shared" si="20"/>
        <v>-2.2899999999999636</v>
      </c>
      <c r="BZ12" s="30">
        <f t="shared" si="21"/>
        <v>146</v>
      </c>
      <c r="CA12" s="30">
        <v>0</v>
      </c>
      <c r="CB12">
        <v>-0.62</v>
      </c>
      <c r="CC12" s="40">
        <f t="shared" si="22"/>
        <v>1457.71</v>
      </c>
      <c r="CD12" s="40">
        <f t="shared" si="23"/>
        <v>-2.2899999999999636</v>
      </c>
      <c r="CE12" s="40">
        <f t="shared" si="24"/>
        <v>1460</v>
      </c>
      <c r="CF12" s="6"/>
      <c r="CG12" s="20">
        <f t="shared" si="43"/>
        <v>0.125</v>
      </c>
      <c r="CH12" s="10"/>
      <c r="CI12" s="15">
        <f t="shared" si="25"/>
        <v>145</v>
      </c>
      <c r="CJ12" s="15">
        <f t="shared" si="26"/>
        <v>60</v>
      </c>
      <c r="CK12" s="2">
        <v>-1458.4549999999999</v>
      </c>
      <c r="CL12" s="12">
        <f t="shared" si="27"/>
        <v>62.25</v>
      </c>
      <c r="CM12" s="12">
        <f t="shared" si="28"/>
        <v>1457.75</v>
      </c>
      <c r="CN12" s="12">
        <f t="shared" si="29"/>
        <v>-1460</v>
      </c>
      <c r="CO12" s="27">
        <f t="shared" si="30"/>
        <v>-2.25</v>
      </c>
      <c r="CP12" s="30">
        <f t="shared" si="31"/>
        <v>146</v>
      </c>
      <c r="CQ12" s="30">
        <v>0</v>
      </c>
      <c r="CR12">
        <v>-0.71</v>
      </c>
      <c r="CS12" s="40">
        <f t="shared" si="32"/>
        <v>1457.7449999999999</v>
      </c>
      <c r="CT12" s="40">
        <f t="shared" si="33"/>
        <v>-2.2550000000001091</v>
      </c>
      <c r="CU12" s="40">
        <f t="shared" si="34"/>
        <v>1460</v>
      </c>
    </row>
    <row r="13" spans="1:99" x14ac:dyDescent="0.45">
      <c r="B13">
        <f t="shared" si="44"/>
        <v>5</v>
      </c>
      <c r="C13">
        <v>20</v>
      </c>
      <c r="D13">
        <f t="shared" si="45"/>
        <v>100</v>
      </c>
      <c r="E13" s="2">
        <v>100.155</v>
      </c>
      <c r="F13" s="23">
        <f t="shared" si="46"/>
        <v>20.004999999999995</v>
      </c>
      <c r="G13" s="6">
        <f t="shared" si="35"/>
        <v>0.15500000000000114</v>
      </c>
      <c r="H13" s="12">
        <f t="shared" si="47"/>
        <v>4.9999999999954525E-3</v>
      </c>
      <c r="J13" s="20">
        <f t="shared" si="0"/>
        <v>0</v>
      </c>
      <c r="K13" s="2"/>
      <c r="L13">
        <f t="shared" ref="L13" si="63">L12+1</f>
        <v>5</v>
      </c>
      <c r="M13">
        <v>20</v>
      </c>
      <c r="N13">
        <f t="shared" si="49"/>
        <v>100</v>
      </c>
      <c r="O13" s="2">
        <v>99.644999999999996</v>
      </c>
      <c r="P13" s="23">
        <f t="shared" si="50"/>
        <v>20.004999999999995</v>
      </c>
      <c r="Q13" s="6">
        <f t="shared" si="36"/>
        <v>-0.35500000000000398</v>
      </c>
      <c r="R13" s="27">
        <f t="shared" si="51"/>
        <v>4.9999999999954525E-3</v>
      </c>
      <c r="S13" s="2"/>
      <c r="T13" s="35"/>
      <c r="U13" s="19"/>
      <c r="V13" s="15">
        <f t="shared" si="52"/>
        <v>9</v>
      </c>
      <c r="W13" s="15">
        <f t="shared" si="53"/>
        <v>100</v>
      </c>
      <c r="X13" s="19">
        <v>99.795000000000002</v>
      </c>
      <c r="Y13" s="12">
        <f t="shared" si="54"/>
        <v>99.305000000000007</v>
      </c>
      <c r="Z13" s="27">
        <f t="shared" si="55"/>
        <v>-0.69499999999999318</v>
      </c>
      <c r="AA13" s="30">
        <f t="shared" si="56"/>
        <v>10</v>
      </c>
      <c r="AB13" s="30">
        <v>0</v>
      </c>
      <c r="AC13" s="19">
        <v>0.5</v>
      </c>
      <c r="AD13" s="28">
        <f t="shared" si="37"/>
        <v>99.295000000000002</v>
      </c>
      <c r="AE13" s="29">
        <f t="shared" si="38"/>
        <v>-0.70499999999999829</v>
      </c>
      <c r="AF13" s="19"/>
      <c r="AG13" s="20">
        <f t="shared" si="39"/>
        <v>0.33499999999999375</v>
      </c>
      <c r="AI13" s="15">
        <f t="shared" si="57"/>
        <v>9</v>
      </c>
      <c r="AJ13" s="15">
        <f t="shared" si="58"/>
        <v>100</v>
      </c>
      <c r="AK13" s="2">
        <v>100.13</v>
      </c>
      <c r="AL13" s="12">
        <f t="shared" si="59"/>
        <v>99.539999999999992</v>
      </c>
      <c r="AM13" s="27">
        <f t="shared" si="60"/>
        <v>-0.46000000000000796</v>
      </c>
      <c r="AN13" s="30">
        <f t="shared" si="61"/>
        <v>10</v>
      </c>
      <c r="AO13" s="30">
        <v>0</v>
      </c>
      <c r="AP13" s="19">
        <v>0.56999999999999995</v>
      </c>
      <c r="AQ13" s="28">
        <f t="shared" si="40"/>
        <v>99.56</v>
      </c>
      <c r="AR13" s="29">
        <f t="shared" si="41"/>
        <v>-0.43999999999999773</v>
      </c>
      <c r="AT13" s="36"/>
      <c r="AU13" s="36"/>
      <c r="AW13">
        <f t="shared" si="1"/>
        <v>72</v>
      </c>
      <c r="AX13">
        <f t="shared" si="2"/>
        <v>-20</v>
      </c>
      <c r="AY13">
        <f t="shared" si="3"/>
        <v>80</v>
      </c>
      <c r="AZ13" s="2">
        <v>-1438.2149999999999</v>
      </c>
      <c r="BA13" s="2">
        <f t="shared" si="4"/>
        <v>81.784999999999627</v>
      </c>
      <c r="BB13" s="23">
        <f t="shared" si="5"/>
        <v>-19.949999999999818</v>
      </c>
      <c r="BC13" s="6">
        <f t="shared" si="6"/>
        <v>-1.7849999999996271</v>
      </c>
      <c r="BD13" s="12">
        <f t="shared" si="7"/>
        <v>-5.0000000000181899E-2</v>
      </c>
      <c r="BF13" s="20">
        <f t="shared" si="42"/>
        <v>-5.0000000001091394E-3</v>
      </c>
      <c r="BH13">
        <f t="shared" si="8"/>
        <v>72</v>
      </c>
      <c r="BI13">
        <f t="shared" si="9"/>
        <v>-20</v>
      </c>
      <c r="BJ13">
        <f t="shared" si="10"/>
        <v>80</v>
      </c>
      <c r="BK13" s="2">
        <v>-1438.29</v>
      </c>
      <c r="BL13" s="2">
        <f t="shared" si="11"/>
        <v>81.709999999999354</v>
      </c>
      <c r="BM13" s="23">
        <f t="shared" si="12"/>
        <v>-19.954999999999927</v>
      </c>
      <c r="BN13" s="6">
        <f t="shared" si="13"/>
        <v>-1.7099999999993543</v>
      </c>
      <c r="BO13" s="12">
        <f t="shared" si="14"/>
        <v>-4.500000000007276E-2</v>
      </c>
      <c r="BP13" s="10"/>
      <c r="BQ13" s="35"/>
      <c r="BR13" s="8"/>
      <c r="BS13" s="15">
        <f t="shared" si="15"/>
        <v>143</v>
      </c>
      <c r="BT13" s="15">
        <f t="shared" si="16"/>
        <v>80</v>
      </c>
      <c r="BU13" s="2">
        <v>-1438.29</v>
      </c>
      <c r="BV13" s="12">
        <f t="shared" si="17"/>
        <v>82.329999999999927</v>
      </c>
      <c r="BW13" s="12">
        <f t="shared" si="18"/>
        <v>1437.67</v>
      </c>
      <c r="BX13" s="12">
        <f t="shared" si="19"/>
        <v>-1440</v>
      </c>
      <c r="BY13" s="27">
        <f t="shared" si="20"/>
        <v>-2.3299999999999272</v>
      </c>
      <c r="BZ13" s="30">
        <f t="shared" si="21"/>
        <v>144</v>
      </c>
      <c r="CA13" s="30">
        <v>0</v>
      </c>
      <c r="CB13">
        <v>-0.62</v>
      </c>
      <c r="CC13" s="40">
        <f t="shared" si="22"/>
        <v>1437.67</v>
      </c>
      <c r="CD13" s="40">
        <f t="shared" si="23"/>
        <v>-2.3299999999999272</v>
      </c>
      <c r="CE13" s="40">
        <f t="shared" si="24"/>
        <v>1440</v>
      </c>
      <c r="CF13" s="6"/>
      <c r="CG13" s="20">
        <f t="shared" si="43"/>
        <v>0.13000000000010914</v>
      </c>
      <c r="CH13" s="10"/>
      <c r="CI13" s="15">
        <f t="shared" si="25"/>
        <v>143</v>
      </c>
      <c r="CJ13" s="15">
        <f t="shared" si="26"/>
        <v>80</v>
      </c>
      <c r="CK13" s="2">
        <v>-1438.42</v>
      </c>
      <c r="CL13" s="12">
        <f t="shared" si="27"/>
        <v>82.279999999999973</v>
      </c>
      <c r="CM13" s="12">
        <f t="shared" si="28"/>
        <v>1437.72</v>
      </c>
      <c r="CN13" s="12">
        <f t="shared" si="29"/>
        <v>-1440</v>
      </c>
      <c r="CO13" s="27">
        <f t="shared" si="30"/>
        <v>-2.2799999999999727</v>
      </c>
      <c r="CP13" s="30">
        <f t="shared" si="31"/>
        <v>144</v>
      </c>
      <c r="CQ13" s="30">
        <v>0</v>
      </c>
      <c r="CR13">
        <v>-0.70499999999999996</v>
      </c>
      <c r="CS13" s="40">
        <f t="shared" si="32"/>
        <v>1437.7150000000001</v>
      </c>
      <c r="CT13" s="40">
        <f t="shared" si="33"/>
        <v>-2.2849999999998545</v>
      </c>
      <c r="CU13" s="40">
        <f t="shared" si="34"/>
        <v>1440</v>
      </c>
    </row>
    <row r="14" spans="1:99" x14ac:dyDescent="0.45">
      <c r="B14">
        <f t="shared" si="44"/>
        <v>6</v>
      </c>
      <c r="C14">
        <v>20</v>
      </c>
      <c r="D14">
        <f t="shared" si="45"/>
        <v>120</v>
      </c>
      <c r="E14" s="2">
        <v>120.08</v>
      </c>
      <c r="F14" s="23">
        <f t="shared" si="46"/>
        <v>19.924999999999997</v>
      </c>
      <c r="G14" s="6">
        <f t="shared" si="35"/>
        <v>7.9999999999998295E-2</v>
      </c>
      <c r="H14" s="12">
        <f t="shared" si="47"/>
        <v>-7.5000000000002842E-2</v>
      </c>
      <c r="J14" s="20">
        <f t="shared" si="0"/>
        <v>3.50000000000108E-2</v>
      </c>
      <c r="K14" s="2"/>
      <c r="L14">
        <f t="shared" ref="L14" si="64">L13+1</f>
        <v>6</v>
      </c>
      <c r="M14">
        <v>20</v>
      </c>
      <c r="N14">
        <f t="shared" si="49"/>
        <v>120</v>
      </c>
      <c r="O14" s="2">
        <v>119.605</v>
      </c>
      <c r="P14" s="23">
        <f t="shared" si="50"/>
        <v>19.960000000000008</v>
      </c>
      <c r="Q14" s="6">
        <f t="shared" si="36"/>
        <v>-0.39499999999999602</v>
      </c>
      <c r="R14" s="27">
        <f t="shared" si="51"/>
        <v>-3.9999999999992042E-2</v>
      </c>
      <c r="S14" s="2"/>
      <c r="T14" s="35"/>
      <c r="U14" s="19"/>
      <c r="V14" s="15">
        <f t="shared" si="52"/>
        <v>11</v>
      </c>
      <c r="W14" s="15">
        <f t="shared" si="53"/>
        <v>120</v>
      </c>
      <c r="X14" s="19">
        <v>119.81</v>
      </c>
      <c r="Y14" s="12">
        <f t="shared" si="54"/>
        <v>119.31</v>
      </c>
      <c r="Z14" s="27">
        <f t="shared" si="55"/>
        <v>-0.68999999999999773</v>
      </c>
      <c r="AA14" s="30">
        <f t="shared" si="56"/>
        <v>12</v>
      </c>
      <c r="AB14" s="30">
        <v>0</v>
      </c>
      <c r="AC14" s="19">
        <v>0.47499999999999998</v>
      </c>
      <c r="AD14" s="28">
        <f t="shared" si="37"/>
        <v>119.33500000000001</v>
      </c>
      <c r="AE14" s="29">
        <f t="shared" si="38"/>
        <v>-0.66499999999999204</v>
      </c>
      <c r="AF14" s="19"/>
      <c r="AG14" s="20">
        <f t="shared" si="39"/>
        <v>0.28999999999999204</v>
      </c>
      <c r="AI14" s="15">
        <f t="shared" si="57"/>
        <v>11</v>
      </c>
      <c r="AJ14" s="15">
        <f t="shared" si="58"/>
        <v>120</v>
      </c>
      <c r="AK14" s="2">
        <v>120.1</v>
      </c>
      <c r="AL14" s="12">
        <f t="shared" si="59"/>
        <v>119.53</v>
      </c>
      <c r="AM14" s="27">
        <f t="shared" si="60"/>
        <v>-0.46999999999999886</v>
      </c>
      <c r="AN14" s="30">
        <f t="shared" si="61"/>
        <v>12</v>
      </c>
      <c r="AO14" s="30">
        <v>0</v>
      </c>
      <c r="AP14" s="19">
        <v>0.54</v>
      </c>
      <c r="AQ14" s="28">
        <f t="shared" si="40"/>
        <v>119.55999999999999</v>
      </c>
      <c r="AR14" s="29">
        <f t="shared" si="41"/>
        <v>-0.44000000000001194</v>
      </c>
      <c r="AT14" s="36"/>
      <c r="AU14" s="36"/>
      <c r="AW14">
        <f t="shared" si="1"/>
        <v>71</v>
      </c>
      <c r="AX14">
        <f t="shared" si="2"/>
        <v>-20</v>
      </c>
      <c r="AY14">
        <f t="shared" si="3"/>
        <v>100</v>
      </c>
      <c r="AZ14" s="2">
        <v>-1418.2650000000001</v>
      </c>
      <c r="BA14" s="2">
        <f t="shared" si="4"/>
        <v>101.73499999999945</v>
      </c>
      <c r="BB14" s="23">
        <f t="shared" si="5"/>
        <v>-19.940000000000055</v>
      </c>
      <c r="BC14" s="6">
        <f t="shared" si="6"/>
        <v>-1.7349999999994452</v>
      </c>
      <c r="BD14" s="12">
        <f t="shared" si="7"/>
        <v>-5.999999999994543E-2</v>
      </c>
      <c r="BF14" s="20">
        <f t="shared" si="42"/>
        <v>1.999999999998181E-2</v>
      </c>
      <c r="BH14">
        <f t="shared" si="8"/>
        <v>71</v>
      </c>
      <c r="BI14">
        <f t="shared" si="9"/>
        <v>-20</v>
      </c>
      <c r="BJ14">
        <f t="shared" si="10"/>
        <v>100</v>
      </c>
      <c r="BK14" s="2">
        <v>-1418.335</v>
      </c>
      <c r="BL14" s="2">
        <f t="shared" si="11"/>
        <v>101.66499999999928</v>
      </c>
      <c r="BM14" s="23">
        <f t="shared" si="12"/>
        <v>-19.920000000000073</v>
      </c>
      <c r="BN14" s="6">
        <f t="shared" si="13"/>
        <v>-1.6649999999992815</v>
      </c>
      <c r="BO14" s="12">
        <f t="shared" si="14"/>
        <v>-7.999999999992724E-2</v>
      </c>
      <c r="BP14" s="10"/>
      <c r="BQ14" s="35"/>
      <c r="BR14" s="8"/>
      <c r="BS14" s="15">
        <f t="shared" si="15"/>
        <v>141</v>
      </c>
      <c r="BT14" s="15">
        <f t="shared" si="16"/>
        <v>100</v>
      </c>
      <c r="BU14" s="2">
        <v>-1418.335</v>
      </c>
      <c r="BV14" s="12">
        <f t="shared" si="17"/>
        <v>102.28499999999985</v>
      </c>
      <c r="BW14" s="12">
        <f t="shared" si="18"/>
        <v>1417.7150000000001</v>
      </c>
      <c r="BX14" s="12">
        <f t="shared" si="19"/>
        <v>-1420</v>
      </c>
      <c r="BY14" s="27">
        <f t="shared" si="20"/>
        <v>-2.2849999999998545</v>
      </c>
      <c r="BZ14" s="30">
        <f t="shared" si="21"/>
        <v>142</v>
      </c>
      <c r="CA14" s="30">
        <v>0</v>
      </c>
      <c r="CB14">
        <v>-0.62</v>
      </c>
      <c r="CC14" s="40">
        <f t="shared" si="22"/>
        <v>1417.7150000000001</v>
      </c>
      <c r="CD14" s="40">
        <f t="shared" si="23"/>
        <v>-2.2849999999998545</v>
      </c>
      <c r="CE14" s="40">
        <f t="shared" si="24"/>
        <v>1420</v>
      </c>
      <c r="CF14" s="6"/>
      <c r="CG14" s="20">
        <f t="shared" si="43"/>
        <v>0.10500000000001819</v>
      </c>
      <c r="CH14" s="10"/>
      <c r="CI14" s="15">
        <f t="shared" si="25"/>
        <v>141</v>
      </c>
      <c r="CJ14" s="15">
        <f t="shared" si="26"/>
        <v>100</v>
      </c>
      <c r="CK14" s="2">
        <v>-1418.44</v>
      </c>
      <c r="CL14" s="12">
        <f t="shared" si="27"/>
        <v>102.25499999999988</v>
      </c>
      <c r="CM14" s="12">
        <f t="shared" si="28"/>
        <v>1417.7450000000001</v>
      </c>
      <c r="CN14" s="12">
        <f t="shared" si="29"/>
        <v>-1420</v>
      </c>
      <c r="CO14" s="27">
        <f t="shared" si="30"/>
        <v>-2.2549999999998818</v>
      </c>
      <c r="CP14" s="30">
        <f t="shared" si="31"/>
        <v>142</v>
      </c>
      <c r="CQ14" s="30">
        <v>0</v>
      </c>
      <c r="CR14">
        <v>-0.7</v>
      </c>
      <c r="CS14" s="40">
        <f t="shared" si="32"/>
        <v>1417.74</v>
      </c>
      <c r="CT14" s="40">
        <f t="shared" si="33"/>
        <v>-2.2599999999999909</v>
      </c>
      <c r="CU14" s="40">
        <f t="shared" si="34"/>
        <v>1420</v>
      </c>
    </row>
    <row r="15" spans="1:99" x14ac:dyDescent="0.45">
      <c r="B15">
        <f t="shared" si="44"/>
        <v>7</v>
      </c>
      <c r="C15">
        <v>20</v>
      </c>
      <c r="D15">
        <f t="shared" si="45"/>
        <v>140</v>
      </c>
      <c r="E15" s="2">
        <v>139.995</v>
      </c>
      <c r="F15" s="23">
        <f t="shared" si="46"/>
        <v>19.915000000000006</v>
      </c>
      <c r="G15" s="6">
        <f t="shared" si="35"/>
        <v>-4.9999999999954525E-3</v>
      </c>
      <c r="H15" s="12">
        <f t="shared" si="47"/>
        <v>-8.4999999999993747E-2</v>
      </c>
      <c r="J15" s="20">
        <f t="shared" si="0"/>
        <v>2.4999999999977263E-2</v>
      </c>
      <c r="K15" s="2"/>
      <c r="L15">
        <f t="shared" ref="L15" si="65">L14+1</f>
        <v>7</v>
      </c>
      <c r="M15">
        <v>20</v>
      </c>
      <c r="N15">
        <f t="shared" si="49"/>
        <v>140</v>
      </c>
      <c r="O15" s="2">
        <v>139.54499999999999</v>
      </c>
      <c r="P15" s="23">
        <f t="shared" si="50"/>
        <v>19.939999999999984</v>
      </c>
      <c r="Q15" s="6">
        <f t="shared" si="36"/>
        <v>-0.45500000000001251</v>
      </c>
      <c r="R15" s="27">
        <f t="shared" si="51"/>
        <v>-6.0000000000016485E-2</v>
      </c>
      <c r="S15" s="2"/>
      <c r="T15" s="35"/>
      <c r="U15" s="19"/>
      <c r="V15" s="15">
        <f t="shared" si="52"/>
        <v>13</v>
      </c>
      <c r="W15" s="15">
        <f t="shared" si="53"/>
        <v>140</v>
      </c>
      <c r="X15" s="19">
        <v>139.655</v>
      </c>
      <c r="Y15" s="12">
        <f t="shared" si="54"/>
        <v>139.18</v>
      </c>
      <c r="Z15" s="27">
        <f t="shared" si="55"/>
        <v>-0.81999999999999318</v>
      </c>
      <c r="AA15" s="30">
        <f t="shared" si="56"/>
        <v>14</v>
      </c>
      <c r="AB15" s="30">
        <v>0</v>
      </c>
      <c r="AC15" s="19">
        <v>0.5</v>
      </c>
      <c r="AD15" s="28">
        <f t="shared" si="37"/>
        <v>139.155</v>
      </c>
      <c r="AE15" s="29">
        <f t="shared" si="38"/>
        <v>-0.84499999999999886</v>
      </c>
      <c r="AF15" s="19"/>
      <c r="AG15" s="20">
        <f t="shared" si="39"/>
        <v>0.31499999999999773</v>
      </c>
      <c r="AI15" s="15">
        <f t="shared" si="57"/>
        <v>13</v>
      </c>
      <c r="AJ15" s="15">
        <f t="shared" si="58"/>
        <v>140</v>
      </c>
      <c r="AK15" s="2">
        <v>139.97</v>
      </c>
      <c r="AL15" s="12">
        <f t="shared" si="59"/>
        <v>139.43</v>
      </c>
      <c r="AM15" s="27">
        <f t="shared" si="60"/>
        <v>-0.56999999999999318</v>
      </c>
      <c r="AN15" s="30">
        <f t="shared" si="61"/>
        <v>14</v>
      </c>
      <c r="AO15" s="30">
        <v>0</v>
      </c>
      <c r="AP15" s="19">
        <v>0.57499999999999996</v>
      </c>
      <c r="AQ15" s="28">
        <f t="shared" si="40"/>
        <v>139.39500000000001</v>
      </c>
      <c r="AR15" s="29">
        <f t="shared" si="41"/>
        <v>-0.60499999999998977</v>
      </c>
      <c r="AT15" s="36"/>
      <c r="AU15" s="36"/>
      <c r="AW15">
        <f t="shared" si="1"/>
        <v>70</v>
      </c>
      <c r="AX15">
        <f t="shared" si="2"/>
        <v>-20</v>
      </c>
      <c r="AY15">
        <f t="shared" si="3"/>
        <v>120</v>
      </c>
      <c r="AZ15" s="2">
        <v>-1398.325</v>
      </c>
      <c r="BA15" s="2">
        <f t="shared" si="4"/>
        <v>121.6749999999995</v>
      </c>
      <c r="BB15" s="23">
        <f t="shared" si="5"/>
        <v>-20.009999999999991</v>
      </c>
      <c r="BC15" s="6">
        <f t="shared" si="6"/>
        <v>-1.6749999999994998</v>
      </c>
      <c r="BD15" s="12">
        <f t="shared" si="7"/>
        <v>9.9999999999909051E-3</v>
      </c>
      <c r="BF15" s="20">
        <f t="shared" si="42"/>
        <v>-3.5000000000081855E-2</v>
      </c>
      <c r="BH15">
        <f t="shared" si="8"/>
        <v>70</v>
      </c>
      <c r="BI15">
        <f t="shared" si="9"/>
        <v>-20</v>
      </c>
      <c r="BJ15">
        <f t="shared" si="10"/>
        <v>120</v>
      </c>
      <c r="BK15" s="2">
        <v>-1398.415</v>
      </c>
      <c r="BL15" s="2">
        <f t="shared" si="11"/>
        <v>121.58499999999935</v>
      </c>
      <c r="BM15" s="23">
        <f t="shared" si="12"/>
        <v>-20.045000000000073</v>
      </c>
      <c r="BN15" s="6">
        <f t="shared" si="13"/>
        <v>-1.5849999999993543</v>
      </c>
      <c r="BO15" s="12">
        <f t="shared" si="14"/>
        <v>4.500000000007276E-2</v>
      </c>
      <c r="BP15" s="10"/>
      <c r="BQ15" s="35"/>
      <c r="BR15" s="8"/>
      <c r="BS15" s="15">
        <f t="shared" si="15"/>
        <v>139</v>
      </c>
      <c r="BT15" s="15">
        <f t="shared" si="16"/>
        <v>120</v>
      </c>
      <c r="BU15" s="2">
        <v>-1398.415</v>
      </c>
      <c r="BV15" s="12">
        <f t="shared" si="17"/>
        <v>122.19499999999994</v>
      </c>
      <c r="BW15" s="12">
        <f t="shared" si="18"/>
        <v>1397.8050000000001</v>
      </c>
      <c r="BX15" s="12">
        <f t="shared" si="19"/>
        <v>-1400</v>
      </c>
      <c r="BY15" s="27">
        <f t="shared" si="20"/>
        <v>-2.1949999999999363</v>
      </c>
      <c r="BZ15" s="30">
        <f t="shared" si="21"/>
        <v>140</v>
      </c>
      <c r="CA15" s="30">
        <v>0</v>
      </c>
      <c r="CB15">
        <v>-0.62</v>
      </c>
      <c r="CC15" s="40">
        <f t="shared" si="22"/>
        <v>1397.7950000000001</v>
      </c>
      <c r="CD15" s="40">
        <f t="shared" si="23"/>
        <v>-2.2049999999999272</v>
      </c>
      <c r="CE15" s="40">
        <f t="shared" si="24"/>
        <v>1400</v>
      </c>
      <c r="CF15" s="6"/>
      <c r="CG15" s="20">
        <f t="shared" si="43"/>
        <v>0.12000000000011823</v>
      </c>
      <c r="CH15" s="10"/>
      <c r="CI15" s="15">
        <f t="shared" si="25"/>
        <v>139</v>
      </c>
      <c r="CJ15" s="15">
        <f t="shared" si="26"/>
        <v>120</v>
      </c>
      <c r="CK15" s="2">
        <v>-1398.5350000000001</v>
      </c>
      <c r="CL15" s="12">
        <f t="shared" si="27"/>
        <v>122.16999999999985</v>
      </c>
      <c r="CM15" s="12">
        <f t="shared" si="28"/>
        <v>1397.8300000000002</v>
      </c>
      <c r="CN15" s="12">
        <f t="shared" si="29"/>
        <v>-1400</v>
      </c>
      <c r="CO15" s="27">
        <f t="shared" si="30"/>
        <v>-2.1699999999998454</v>
      </c>
      <c r="CP15" s="30">
        <f t="shared" si="31"/>
        <v>140</v>
      </c>
      <c r="CQ15" s="30">
        <v>0</v>
      </c>
      <c r="CR15">
        <v>-0.69499999999999995</v>
      </c>
      <c r="CS15" s="40">
        <f t="shared" si="32"/>
        <v>1397.8400000000001</v>
      </c>
      <c r="CT15" s="40">
        <f t="shared" si="33"/>
        <v>-2.1599999999998545</v>
      </c>
      <c r="CU15" s="40">
        <f t="shared" si="34"/>
        <v>1400</v>
      </c>
    </row>
    <row r="16" spans="1:99" x14ac:dyDescent="0.45">
      <c r="B16">
        <f t="shared" si="44"/>
        <v>8</v>
      </c>
      <c r="C16">
        <v>20</v>
      </c>
      <c r="D16">
        <f t="shared" si="45"/>
        <v>160</v>
      </c>
      <c r="E16" s="2">
        <v>159.96</v>
      </c>
      <c r="F16" s="23">
        <f t="shared" si="46"/>
        <v>19.965000000000003</v>
      </c>
      <c r="G16" s="6">
        <f t="shared" si="35"/>
        <v>-3.9999999999992042E-2</v>
      </c>
      <c r="H16" s="12">
        <f t="shared" si="47"/>
        <v>-3.4999999999996589E-2</v>
      </c>
      <c r="J16" s="20">
        <f t="shared" si="0"/>
        <v>1.0000000000019327E-2</v>
      </c>
      <c r="K16" s="2"/>
      <c r="L16">
        <f t="shared" ref="L16" si="66">L15+1</f>
        <v>8</v>
      </c>
      <c r="M16">
        <v>20</v>
      </c>
      <c r="N16">
        <f t="shared" si="49"/>
        <v>160</v>
      </c>
      <c r="O16" s="2">
        <v>159.52000000000001</v>
      </c>
      <c r="P16" s="23">
        <f t="shared" si="50"/>
        <v>19.975000000000023</v>
      </c>
      <c r="Q16" s="6">
        <f t="shared" si="36"/>
        <v>-0.47999999999998977</v>
      </c>
      <c r="R16" s="27">
        <f t="shared" si="51"/>
        <v>-2.4999999999977263E-2</v>
      </c>
      <c r="S16" s="2"/>
      <c r="T16" s="35"/>
      <c r="U16" s="19"/>
      <c r="V16" s="15">
        <f t="shared" si="52"/>
        <v>15</v>
      </c>
      <c r="W16" s="15">
        <f t="shared" si="53"/>
        <v>160</v>
      </c>
      <c r="X16" s="19">
        <v>159.63</v>
      </c>
      <c r="Y16" s="12">
        <f t="shared" si="54"/>
        <v>159.13</v>
      </c>
      <c r="Z16" s="27">
        <f t="shared" si="55"/>
        <v>-0.87000000000000455</v>
      </c>
      <c r="AA16" s="30">
        <f t="shared" si="56"/>
        <v>16</v>
      </c>
      <c r="AB16" s="30">
        <v>0</v>
      </c>
      <c r="AC16" s="19">
        <v>0.47499999999999998</v>
      </c>
      <c r="AD16" s="28">
        <f t="shared" si="37"/>
        <v>159.155</v>
      </c>
      <c r="AE16" s="29">
        <f t="shared" si="38"/>
        <v>-0.84499999999999886</v>
      </c>
      <c r="AF16" s="19"/>
      <c r="AG16" s="20">
        <f t="shared" si="39"/>
        <v>0.34499999999999886</v>
      </c>
      <c r="AI16" s="15">
        <f t="shared" si="57"/>
        <v>15</v>
      </c>
      <c r="AJ16" s="15">
        <f t="shared" si="58"/>
        <v>160</v>
      </c>
      <c r="AK16" s="2">
        <v>159.97499999999999</v>
      </c>
      <c r="AL16" s="12">
        <f t="shared" si="59"/>
        <v>159.4</v>
      </c>
      <c r="AM16" s="27">
        <f t="shared" si="60"/>
        <v>-0.59999999999999432</v>
      </c>
      <c r="AN16" s="30">
        <f t="shared" si="61"/>
        <v>16</v>
      </c>
      <c r="AO16" s="30">
        <v>0</v>
      </c>
      <c r="AP16" s="19">
        <v>0.53500000000000003</v>
      </c>
      <c r="AQ16" s="28">
        <f t="shared" si="40"/>
        <v>159.44</v>
      </c>
      <c r="AR16" s="29">
        <f t="shared" si="41"/>
        <v>-0.56000000000000227</v>
      </c>
      <c r="AT16" s="36"/>
      <c r="AU16" s="36"/>
      <c r="AW16">
        <f t="shared" si="1"/>
        <v>69</v>
      </c>
      <c r="AX16">
        <f t="shared" si="2"/>
        <v>-20</v>
      </c>
      <c r="AY16">
        <f t="shared" si="3"/>
        <v>140</v>
      </c>
      <c r="AZ16" s="2">
        <v>-1378.3150000000001</v>
      </c>
      <c r="BA16" s="2">
        <f t="shared" si="4"/>
        <v>141.68499999999949</v>
      </c>
      <c r="BB16" s="23">
        <f t="shared" si="5"/>
        <v>-19.995000000000118</v>
      </c>
      <c r="BC16" s="6">
        <f t="shared" si="6"/>
        <v>-1.6849999999994907</v>
      </c>
      <c r="BD16" s="12">
        <f t="shared" si="7"/>
        <v>-4.9999999998817657E-3</v>
      </c>
      <c r="BF16" s="20">
        <f t="shared" si="42"/>
        <v>2.5000000000318323E-2</v>
      </c>
      <c r="BH16">
        <f t="shared" si="8"/>
        <v>69</v>
      </c>
      <c r="BI16">
        <f t="shared" si="9"/>
        <v>-20</v>
      </c>
      <c r="BJ16">
        <f t="shared" si="10"/>
        <v>140</v>
      </c>
      <c r="BK16" s="2">
        <v>-1378.37</v>
      </c>
      <c r="BL16" s="2">
        <f t="shared" si="11"/>
        <v>141.62999999999943</v>
      </c>
      <c r="BM16" s="23">
        <f t="shared" si="12"/>
        <v>-19.9699999999998</v>
      </c>
      <c r="BN16" s="6">
        <f t="shared" si="13"/>
        <v>-1.629999999999427</v>
      </c>
      <c r="BO16" s="12">
        <f t="shared" si="14"/>
        <v>-3.0000000000200089E-2</v>
      </c>
      <c r="BP16" s="10"/>
      <c r="BQ16" s="35"/>
      <c r="BR16" s="8"/>
      <c r="BS16" s="15">
        <f t="shared" si="15"/>
        <v>137</v>
      </c>
      <c r="BT16" s="15">
        <f t="shared" si="16"/>
        <v>140</v>
      </c>
      <c r="BU16" s="2">
        <v>-1378.37</v>
      </c>
      <c r="BV16" s="12">
        <f t="shared" si="17"/>
        <v>142.23500000000013</v>
      </c>
      <c r="BW16" s="12">
        <f t="shared" si="18"/>
        <v>1377.7649999999999</v>
      </c>
      <c r="BX16" s="12">
        <f t="shared" si="19"/>
        <v>-1380</v>
      </c>
      <c r="BY16" s="27">
        <f t="shared" si="20"/>
        <v>-2.2350000000001273</v>
      </c>
      <c r="BZ16" s="30">
        <f t="shared" si="21"/>
        <v>138</v>
      </c>
      <c r="CA16" s="30">
        <v>0</v>
      </c>
      <c r="CB16">
        <v>-0.61</v>
      </c>
      <c r="CC16" s="40">
        <f t="shared" si="22"/>
        <v>1377.76</v>
      </c>
      <c r="CD16" s="40">
        <f t="shared" si="23"/>
        <v>-2.2400000000000091</v>
      </c>
      <c r="CE16" s="40">
        <f t="shared" si="24"/>
        <v>1380</v>
      </c>
      <c r="CF16" s="6"/>
      <c r="CG16" s="20">
        <f t="shared" si="43"/>
        <v>0.14500000000020918</v>
      </c>
      <c r="CH16" s="10"/>
      <c r="CI16" s="15">
        <f t="shared" si="25"/>
        <v>137</v>
      </c>
      <c r="CJ16" s="15">
        <f t="shared" si="26"/>
        <v>140</v>
      </c>
      <c r="CK16" s="2">
        <v>-1378.5150000000001</v>
      </c>
      <c r="CL16" s="12">
        <f t="shared" si="27"/>
        <v>142.18499999999995</v>
      </c>
      <c r="CM16" s="12">
        <f t="shared" si="28"/>
        <v>1377.8150000000001</v>
      </c>
      <c r="CN16" s="12">
        <f t="shared" si="29"/>
        <v>-1380</v>
      </c>
      <c r="CO16" s="27">
        <f t="shared" si="30"/>
        <v>-2.1849999999999454</v>
      </c>
      <c r="CP16" s="30">
        <f t="shared" si="31"/>
        <v>138</v>
      </c>
      <c r="CQ16" s="30">
        <v>0</v>
      </c>
      <c r="CR16">
        <v>-0.70499999999999996</v>
      </c>
      <c r="CS16" s="40">
        <f t="shared" si="32"/>
        <v>1377.8100000000002</v>
      </c>
      <c r="CT16" s="40">
        <f t="shared" si="33"/>
        <v>-2.1899999999998272</v>
      </c>
      <c r="CU16" s="40">
        <f t="shared" si="34"/>
        <v>1380</v>
      </c>
    </row>
    <row r="17" spans="2:111" x14ac:dyDescent="0.45">
      <c r="B17">
        <f t="shared" si="44"/>
        <v>9</v>
      </c>
      <c r="C17">
        <v>20</v>
      </c>
      <c r="D17">
        <f t="shared" si="45"/>
        <v>180</v>
      </c>
      <c r="E17" s="2">
        <v>179.95500000000001</v>
      </c>
      <c r="F17" s="23">
        <f t="shared" si="46"/>
        <v>19.995000000000005</v>
      </c>
      <c r="G17" s="6">
        <f t="shared" si="35"/>
        <v>-4.4999999999987494E-2</v>
      </c>
      <c r="H17" s="12">
        <f t="shared" si="47"/>
        <v>-4.9999999999954525E-3</v>
      </c>
      <c r="J17" s="20">
        <f t="shared" si="0"/>
        <v>9.9999999999909051E-3</v>
      </c>
      <c r="K17" s="2"/>
      <c r="L17">
        <f t="shared" ref="L17" si="67">L16+1</f>
        <v>9</v>
      </c>
      <c r="M17">
        <v>20</v>
      </c>
      <c r="N17">
        <f t="shared" si="49"/>
        <v>180</v>
      </c>
      <c r="O17" s="2">
        <v>179.52500000000001</v>
      </c>
      <c r="P17" s="23">
        <f t="shared" si="50"/>
        <v>20.004999999999995</v>
      </c>
      <c r="Q17" s="6">
        <f t="shared" si="36"/>
        <v>-0.47499999999999432</v>
      </c>
      <c r="R17" s="27">
        <f t="shared" si="51"/>
        <v>4.9999999999954525E-3</v>
      </c>
      <c r="S17" s="2"/>
      <c r="T17" s="35"/>
      <c r="U17" s="19"/>
      <c r="V17" s="15">
        <f t="shared" si="52"/>
        <v>17</v>
      </c>
      <c r="W17" s="15">
        <f t="shared" si="53"/>
        <v>180</v>
      </c>
      <c r="X17" s="19">
        <v>179.61500000000001</v>
      </c>
      <c r="Y17" s="12">
        <f t="shared" si="54"/>
        <v>179.14000000000001</v>
      </c>
      <c r="Z17" s="27">
        <f t="shared" si="55"/>
        <v>-0.85999999999998522</v>
      </c>
      <c r="AA17" s="30">
        <f t="shared" si="56"/>
        <v>18</v>
      </c>
      <c r="AB17" s="30">
        <v>0</v>
      </c>
      <c r="AC17" s="19">
        <v>0.48499999999999999</v>
      </c>
      <c r="AD17" s="28">
        <f t="shared" si="37"/>
        <v>179.13</v>
      </c>
      <c r="AE17" s="29">
        <f t="shared" si="38"/>
        <v>-0.87000000000000455</v>
      </c>
      <c r="AF17" s="19"/>
      <c r="AG17" s="20">
        <f t="shared" si="39"/>
        <v>0.29999999999998295</v>
      </c>
      <c r="AI17" s="15">
        <f t="shared" si="57"/>
        <v>17</v>
      </c>
      <c r="AJ17" s="15">
        <f t="shared" si="58"/>
        <v>180</v>
      </c>
      <c r="AK17" s="2">
        <v>179.91499999999999</v>
      </c>
      <c r="AL17" s="12">
        <f t="shared" si="59"/>
        <v>179.38</v>
      </c>
      <c r="AM17" s="27">
        <f t="shared" si="60"/>
        <v>-0.62000000000000455</v>
      </c>
      <c r="AN17" s="30">
        <f t="shared" si="61"/>
        <v>18</v>
      </c>
      <c r="AO17" s="30">
        <v>0</v>
      </c>
      <c r="AP17" s="19">
        <v>0.57499999999999996</v>
      </c>
      <c r="AQ17" s="28">
        <f t="shared" si="40"/>
        <v>179.34</v>
      </c>
      <c r="AR17" s="29">
        <f t="shared" si="41"/>
        <v>-0.65999999999999659</v>
      </c>
      <c r="AT17" s="36"/>
      <c r="AU17" s="36"/>
      <c r="AW17">
        <f t="shared" si="1"/>
        <v>68</v>
      </c>
      <c r="AX17">
        <f t="shared" si="2"/>
        <v>-20</v>
      </c>
      <c r="AY17">
        <f t="shared" si="3"/>
        <v>160</v>
      </c>
      <c r="AZ17" s="2">
        <v>-1358.32</v>
      </c>
      <c r="BA17" s="2">
        <f t="shared" si="4"/>
        <v>161.67999999999961</v>
      </c>
      <c r="BB17" s="23">
        <f t="shared" si="5"/>
        <v>-20.004999999999882</v>
      </c>
      <c r="BC17" s="6">
        <f t="shared" si="6"/>
        <v>-1.6799999999996089</v>
      </c>
      <c r="BD17" s="12">
        <f t="shared" si="7"/>
        <v>4.9999999998817657E-3</v>
      </c>
      <c r="BF17" s="20">
        <f t="shared" si="42"/>
        <v>-2.5000000000318323E-2</v>
      </c>
      <c r="BH17">
        <f t="shared" si="8"/>
        <v>68</v>
      </c>
      <c r="BI17">
        <f t="shared" si="9"/>
        <v>-20</v>
      </c>
      <c r="BJ17">
        <f t="shared" si="10"/>
        <v>160</v>
      </c>
      <c r="BK17" s="2">
        <v>-1358.4</v>
      </c>
      <c r="BL17" s="2">
        <f t="shared" si="11"/>
        <v>161.59999999999923</v>
      </c>
      <c r="BM17" s="23">
        <f t="shared" si="12"/>
        <v>-20.0300000000002</v>
      </c>
      <c r="BN17" s="6">
        <f t="shared" si="13"/>
        <v>-1.5999999999992269</v>
      </c>
      <c r="BO17" s="12">
        <f t="shared" si="14"/>
        <v>3.0000000000200089E-2</v>
      </c>
      <c r="BP17" s="10"/>
      <c r="BQ17" s="35"/>
      <c r="BR17" s="8"/>
      <c r="BS17" s="15">
        <f t="shared" si="15"/>
        <v>135</v>
      </c>
      <c r="BT17" s="15">
        <f t="shared" si="16"/>
        <v>160</v>
      </c>
      <c r="BU17" s="2">
        <v>-1358.4</v>
      </c>
      <c r="BV17" s="12">
        <f t="shared" si="17"/>
        <v>162.20999999999981</v>
      </c>
      <c r="BW17" s="12">
        <f t="shared" si="18"/>
        <v>1357.7900000000002</v>
      </c>
      <c r="BX17" s="12">
        <f t="shared" si="19"/>
        <v>-1360</v>
      </c>
      <c r="BY17" s="27">
        <f t="shared" si="20"/>
        <v>-2.209999999999809</v>
      </c>
      <c r="BZ17" s="30">
        <f t="shared" si="21"/>
        <v>136</v>
      </c>
      <c r="CA17" s="30">
        <v>0</v>
      </c>
      <c r="CB17">
        <v>-0.60499999999999998</v>
      </c>
      <c r="CC17" s="40">
        <f t="shared" si="22"/>
        <v>1357.7950000000001</v>
      </c>
      <c r="CD17" s="40">
        <f t="shared" si="23"/>
        <v>-2.2049999999999272</v>
      </c>
      <c r="CE17" s="40">
        <f t="shared" si="24"/>
        <v>1360</v>
      </c>
      <c r="CF17" s="6"/>
      <c r="CG17" s="20">
        <f t="shared" si="43"/>
        <v>0.11999999999989086</v>
      </c>
      <c r="CH17" s="10"/>
      <c r="CI17" s="15">
        <f t="shared" si="25"/>
        <v>135</v>
      </c>
      <c r="CJ17" s="15">
        <f t="shared" si="26"/>
        <v>160</v>
      </c>
      <c r="CK17" s="2">
        <v>-1358.52</v>
      </c>
      <c r="CL17" s="12">
        <f t="shared" si="27"/>
        <v>162.16499999999996</v>
      </c>
      <c r="CM17" s="12">
        <f t="shared" si="28"/>
        <v>1357.835</v>
      </c>
      <c r="CN17" s="12">
        <f t="shared" si="29"/>
        <v>-1360</v>
      </c>
      <c r="CO17" s="27">
        <f t="shared" si="30"/>
        <v>-2.1649999999999636</v>
      </c>
      <c r="CP17" s="30">
        <f t="shared" si="31"/>
        <v>136</v>
      </c>
      <c r="CQ17" s="30">
        <v>0</v>
      </c>
      <c r="CR17">
        <v>-0.7</v>
      </c>
      <c r="CS17" s="40">
        <f t="shared" si="32"/>
        <v>1357.82</v>
      </c>
      <c r="CT17" s="40">
        <f t="shared" si="33"/>
        <v>-2.1800000000000637</v>
      </c>
      <c r="CU17" s="40">
        <f t="shared" si="34"/>
        <v>1360</v>
      </c>
    </row>
    <row r="18" spans="2:111" x14ac:dyDescent="0.45">
      <c r="B18">
        <f t="shared" si="44"/>
        <v>10</v>
      </c>
      <c r="C18">
        <v>20</v>
      </c>
      <c r="D18">
        <f t="shared" si="45"/>
        <v>200</v>
      </c>
      <c r="E18" s="2">
        <v>200.02</v>
      </c>
      <c r="F18" s="23">
        <f t="shared" si="46"/>
        <v>20.064999999999998</v>
      </c>
      <c r="G18" s="6">
        <f t="shared" si="35"/>
        <v>2.0000000000010232E-2</v>
      </c>
      <c r="H18" s="12">
        <f t="shared" si="47"/>
        <v>6.4999999999997726E-2</v>
      </c>
      <c r="J18" s="20">
        <f t="shared" si="0"/>
        <v>4.4999999999987494E-2</v>
      </c>
      <c r="K18" s="2"/>
      <c r="L18">
        <f t="shared" ref="L18" si="68">L17+1</f>
        <v>10</v>
      </c>
      <c r="M18">
        <v>20</v>
      </c>
      <c r="N18">
        <f t="shared" si="49"/>
        <v>200</v>
      </c>
      <c r="O18" s="2">
        <v>199.63499999999999</v>
      </c>
      <c r="P18" s="23">
        <f t="shared" si="50"/>
        <v>20.109999999999985</v>
      </c>
      <c r="Q18" s="6">
        <f t="shared" si="36"/>
        <v>-0.36500000000000909</v>
      </c>
      <c r="R18" s="27">
        <f t="shared" si="51"/>
        <v>0.10999999999998522</v>
      </c>
      <c r="S18" s="2"/>
      <c r="T18" s="35"/>
      <c r="U18" s="19"/>
      <c r="V18" s="15">
        <f t="shared" si="52"/>
        <v>19</v>
      </c>
      <c r="W18" s="15">
        <f t="shared" si="53"/>
        <v>200</v>
      </c>
      <c r="X18" s="19">
        <v>199.7</v>
      </c>
      <c r="Y18" s="12">
        <f t="shared" si="54"/>
        <v>199.21499999999997</v>
      </c>
      <c r="Z18" s="27">
        <f t="shared" si="55"/>
        <v>-0.78500000000002501</v>
      </c>
      <c r="AA18" s="30">
        <f t="shared" si="56"/>
        <v>20</v>
      </c>
      <c r="AB18" s="30">
        <v>0</v>
      </c>
      <c r="AC18" s="19">
        <v>0.48</v>
      </c>
      <c r="AD18" s="28">
        <f t="shared" si="37"/>
        <v>199.22</v>
      </c>
      <c r="AE18" s="29">
        <f t="shared" si="38"/>
        <v>-0.78000000000000114</v>
      </c>
      <c r="AF18" s="19"/>
      <c r="AG18" s="20">
        <f t="shared" si="39"/>
        <v>0.31499999999999773</v>
      </c>
      <c r="AI18" s="15">
        <f t="shared" si="57"/>
        <v>19</v>
      </c>
      <c r="AJ18" s="15">
        <f t="shared" si="58"/>
        <v>200</v>
      </c>
      <c r="AK18" s="2">
        <v>200.01499999999999</v>
      </c>
      <c r="AL18" s="12">
        <f t="shared" si="59"/>
        <v>199.44</v>
      </c>
      <c r="AM18" s="27">
        <f t="shared" si="60"/>
        <v>-0.56000000000000227</v>
      </c>
      <c r="AN18" s="30">
        <f t="shared" si="61"/>
        <v>20</v>
      </c>
      <c r="AO18" s="30">
        <v>0</v>
      </c>
      <c r="AP18" s="19">
        <v>0.54500000000000004</v>
      </c>
      <c r="AQ18" s="28">
        <f t="shared" si="40"/>
        <v>199.47</v>
      </c>
      <c r="AR18" s="29">
        <f t="shared" si="41"/>
        <v>-0.53000000000000114</v>
      </c>
      <c r="AT18" s="36"/>
      <c r="AU18" s="36"/>
      <c r="AW18">
        <f t="shared" si="1"/>
        <v>67</v>
      </c>
      <c r="AX18">
        <f t="shared" si="2"/>
        <v>-20</v>
      </c>
      <c r="AY18">
        <f t="shared" si="3"/>
        <v>180</v>
      </c>
      <c r="AZ18" s="2">
        <v>-1338.3150000000001</v>
      </c>
      <c r="BA18" s="2">
        <f t="shared" si="4"/>
        <v>181.68499999999949</v>
      </c>
      <c r="BB18" s="23">
        <f t="shared" si="5"/>
        <v>-20.035000000000082</v>
      </c>
      <c r="BC18" s="6">
        <f t="shared" si="6"/>
        <v>-1.6849999999994907</v>
      </c>
      <c r="BD18" s="12">
        <f t="shared" si="7"/>
        <v>3.5000000000081855E-2</v>
      </c>
      <c r="BF18" s="20">
        <f t="shared" si="42"/>
        <v>5.0000000001091394E-3</v>
      </c>
      <c r="BH18">
        <f t="shared" si="8"/>
        <v>67</v>
      </c>
      <c r="BI18">
        <f t="shared" si="9"/>
        <v>-20</v>
      </c>
      <c r="BJ18">
        <f t="shared" si="10"/>
        <v>180</v>
      </c>
      <c r="BK18" s="2">
        <v>-1338.37</v>
      </c>
      <c r="BL18" s="2">
        <f t="shared" si="11"/>
        <v>181.62999999999943</v>
      </c>
      <c r="BM18" s="23">
        <f t="shared" si="12"/>
        <v>-20.029999999999973</v>
      </c>
      <c r="BN18" s="6">
        <f t="shared" si="13"/>
        <v>-1.629999999999427</v>
      </c>
      <c r="BO18" s="12">
        <f t="shared" si="14"/>
        <v>2.9999999999972715E-2</v>
      </c>
      <c r="BP18" s="10"/>
      <c r="BQ18" s="35"/>
      <c r="BR18" s="8"/>
      <c r="BS18" s="15">
        <f t="shared" si="15"/>
        <v>133</v>
      </c>
      <c r="BT18" s="15">
        <f t="shared" si="16"/>
        <v>180</v>
      </c>
      <c r="BU18" s="2">
        <v>-1338.37</v>
      </c>
      <c r="BV18" s="12">
        <f t="shared" si="17"/>
        <v>182.24500000000012</v>
      </c>
      <c r="BW18" s="12">
        <f t="shared" si="18"/>
        <v>1337.7549999999999</v>
      </c>
      <c r="BX18" s="12">
        <f t="shared" si="19"/>
        <v>-1340</v>
      </c>
      <c r="BY18" s="27">
        <f t="shared" si="20"/>
        <v>-2.2450000000001182</v>
      </c>
      <c r="BZ18" s="30">
        <f t="shared" si="21"/>
        <v>134</v>
      </c>
      <c r="CA18" s="30">
        <v>0</v>
      </c>
      <c r="CB18">
        <v>-0.61</v>
      </c>
      <c r="CC18" s="40">
        <f t="shared" si="22"/>
        <v>1337.76</v>
      </c>
      <c r="CD18" s="40">
        <f t="shared" si="23"/>
        <v>-2.2400000000000091</v>
      </c>
      <c r="CE18" s="40">
        <f t="shared" si="24"/>
        <v>1340</v>
      </c>
      <c r="CF18" s="6"/>
      <c r="CG18" s="20">
        <f t="shared" si="43"/>
        <v>0.13500000000021828</v>
      </c>
      <c r="CH18" s="10"/>
      <c r="CI18" s="15">
        <f t="shared" si="25"/>
        <v>133</v>
      </c>
      <c r="CJ18" s="15">
        <f t="shared" si="26"/>
        <v>180</v>
      </c>
      <c r="CK18" s="2">
        <v>-1338.5050000000001</v>
      </c>
      <c r="CL18" s="12">
        <f t="shared" si="27"/>
        <v>182.17999999999984</v>
      </c>
      <c r="CM18" s="12">
        <f t="shared" si="28"/>
        <v>1337.8200000000002</v>
      </c>
      <c r="CN18" s="12">
        <f t="shared" si="29"/>
        <v>-1340</v>
      </c>
      <c r="CO18" s="27">
        <f t="shared" si="30"/>
        <v>-2.1799999999998363</v>
      </c>
      <c r="CP18" s="30">
        <f t="shared" si="31"/>
        <v>134</v>
      </c>
      <c r="CQ18" s="30">
        <v>0</v>
      </c>
      <c r="CR18">
        <v>-0.68500000000000005</v>
      </c>
      <c r="CS18" s="40">
        <f t="shared" si="32"/>
        <v>1337.8200000000002</v>
      </c>
      <c r="CT18" s="40">
        <f t="shared" si="33"/>
        <v>-2.1799999999998363</v>
      </c>
      <c r="CU18" s="40">
        <f t="shared" si="34"/>
        <v>1340</v>
      </c>
    </row>
    <row r="19" spans="2:111" x14ac:dyDescent="0.45">
      <c r="B19">
        <f t="shared" si="44"/>
        <v>11</v>
      </c>
      <c r="C19">
        <v>20</v>
      </c>
      <c r="D19">
        <f t="shared" si="45"/>
        <v>220</v>
      </c>
      <c r="E19" s="2">
        <v>220.08</v>
      </c>
      <c r="F19" s="23">
        <f t="shared" si="46"/>
        <v>20.060000000000002</v>
      </c>
      <c r="G19" s="6">
        <f t="shared" si="35"/>
        <v>8.0000000000012506E-2</v>
      </c>
      <c r="H19" s="12">
        <f t="shared" si="47"/>
        <v>6.0000000000002274E-2</v>
      </c>
      <c r="J19" s="20">
        <f t="shared" si="0"/>
        <v>0.14500000000001023</v>
      </c>
      <c r="K19" s="2"/>
      <c r="L19">
        <f t="shared" ref="L19" si="69">L18+1</f>
        <v>11</v>
      </c>
      <c r="M19">
        <v>20</v>
      </c>
      <c r="N19">
        <f t="shared" si="49"/>
        <v>220</v>
      </c>
      <c r="O19" s="2">
        <v>219.84</v>
      </c>
      <c r="P19" s="23">
        <f t="shared" si="50"/>
        <v>20.205000000000013</v>
      </c>
      <c r="Q19" s="6">
        <f t="shared" si="36"/>
        <v>-0.15999999999999659</v>
      </c>
      <c r="R19" s="27">
        <f t="shared" si="51"/>
        <v>0.20500000000001251</v>
      </c>
      <c r="S19" s="2"/>
      <c r="T19" s="35"/>
      <c r="U19" s="19"/>
      <c r="V19" s="15">
        <f t="shared" si="52"/>
        <v>21</v>
      </c>
      <c r="W19" s="15">
        <f t="shared" si="53"/>
        <v>220</v>
      </c>
      <c r="X19" s="19">
        <v>219.81</v>
      </c>
      <c r="Y19" s="12">
        <f t="shared" si="54"/>
        <v>219.33</v>
      </c>
      <c r="Z19" s="27">
        <f t="shared" si="55"/>
        <v>-0.66999999999998749</v>
      </c>
      <c r="AA19" s="30">
        <f t="shared" si="56"/>
        <v>22</v>
      </c>
      <c r="AB19" s="30">
        <v>0</v>
      </c>
      <c r="AC19" s="19">
        <v>0.495</v>
      </c>
      <c r="AD19" s="28">
        <f t="shared" si="37"/>
        <v>219.315</v>
      </c>
      <c r="AE19" s="29">
        <f t="shared" si="38"/>
        <v>-0.68500000000000227</v>
      </c>
      <c r="AF19" s="19"/>
      <c r="AG19" s="20">
        <f t="shared" si="39"/>
        <v>0.28000000000000114</v>
      </c>
      <c r="AI19" s="15">
        <f t="shared" si="57"/>
        <v>21</v>
      </c>
      <c r="AJ19" s="15">
        <f t="shared" si="58"/>
        <v>220</v>
      </c>
      <c r="AK19" s="2">
        <v>220.09</v>
      </c>
      <c r="AL19" s="12">
        <f t="shared" si="59"/>
        <v>219.54500000000002</v>
      </c>
      <c r="AM19" s="27">
        <f t="shared" si="60"/>
        <v>-0.45499999999998408</v>
      </c>
      <c r="AN19" s="30">
        <f t="shared" si="61"/>
        <v>22</v>
      </c>
      <c r="AO19" s="30">
        <v>0</v>
      </c>
      <c r="AP19" s="19">
        <v>0.57499999999999996</v>
      </c>
      <c r="AQ19" s="28">
        <f t="shared" si="40"/>
        <v>219.51500000000001</v>
      </c>
      <c r="AR19" s="29">
        <f t="shared" si="41"/>
        <v>-0.48499999999998522</v>
      </c>
      <c r="AT19" s="36"/>
      <c r="AU19" s="36"/>
      <c r="AW19">
        <f t="shared" si="1"/>
        <v>66</v>
      </c>
      <c r="AX19">
        <f t="shared" si="2"/>
        <v>-20</v>
      </c>
      <c r="AY19">
        <f t="shared" si="3"/>
        <v>200</v>
      </c>
      <c r="AZ19" s="2">
        <v>-1318.28</v>
      </c>
      <c r="BA19" s="2">
        <f t="shared" si="4"/>
        <v>201.71999999999957</v>
      </c>
      <c r="BB19" s="23">
        <f t="shared" si="5"/>
        <v>-20.059999999999945</v>
      </c>
      <c r="BC19" s="6">
        <f t="shared" si="6"/>
        <v>-1.7199999999995725</v>
      </c>
      <c r="BD19" s="12">
        <f t="shared" si="7"/>
        <v>5.999999999994543E-2</v>
      </c>
      <c r="BF19" s="20">
        <f t="shared" si="42"/>
        <v>-1.999999999998181E-2</v>
      </c>
      <c r="BH19">
        <f t="shared" si="8"/>
        <v>66</v>
      </c>
      <c r="BI19">
        <f t="shared" si="9"/>
        <v>-20</v>
      </c>
      <c r="BJ19">
        <f t="shared" si="10"/>
        <v>200</v>
      </c>
      <c r="BK19" s="2">
        <v>-1318.34</v>
      </c>
      <c r="BL19" s="2">
        <f t="shared" si="11"/>
        <v>201.6599999999994</v>
      </c>
      <c r="BM19" s="23">
        <f t="shared" si="12"/>
        <v>-20.079999999999927</v>
      </c>
      <c r="BN19" s="6">
        <f t="shared" si="13"/>
        <v>-1.6599999999993997</v>
      </c>
      <c r="BO19" s="12">
        <f t="shared" si="14"/>
        <v>7.999999999992724E-2</v>
      </c>
      <c r="BP19" s="10"/>
      <c r="BQ19" s="35"/>
      <c r="BR19" s="8"/>
      <c r="BS19" s="15">
        <f t="shared" si="15"/>
        <v>131</v>
      </c>
      <c r="BT19" s="15">
        <f t="shared" si="16"/>
        <v>200</v>
      </c>
      <c r="BU19" s="2">
        <v>-1318.34</v>
      </c>
      <c r="BV19" s="12">
        <f t="shared" si="17"/>
        <v>202.2650000000001</v>
      </c>
      <c r="BW19" s="12">
        <f t="shared" si="18"/>
        <v>1317.7349999999999</v>
      </c>
      <c r="BX19" s="12">
        <f t="shared" si="19"/>
        <v>-1320</v>
      </c>
      <c r="BY19" s="27">
        <f t="shared" si="20"/>
        <v>-2.2650000000001</v>
      </c>
      <c r="BZ19" s="30">
        <f t="shared" si="21"/>
        <v>132</v>
      </c>
      <c r="CA19" s="30">
        <v>0</v>
      </c>
      <c r="CB19">
        <v>-0.61499999999999999</v>
      </c>
      <c r="CC19" s="40">
        <f t="shared" si="22"/>
        <v>1317.7249999999999</v>
      </c>
      <c r="CD19" s="40">
        <f t="shared" si="23"/>
        <v>-2.2750000000000909</v>
      </c>
      <c r="CE19" s="40">
        <f t="shared" si="24"/>
        <v>1320</v>
      </c>
      <c r="CF19" s="6"/>
      <c r="CG19" s="20">
        <f t="shared" si="43"/>
        <v>0.12000000000011823</v>
      </c>
      <c r="CH19" s="10"/>
      <c r="CI19" s="15">
        <f t="shared" si="25"/>
        <v>131</v>
      </c>
      <c r="CJ19" s="15">
        <f t="shared" si="26"/>
        <v>200</v>
      </c>
      <c r="CK19" s="2">
        <v>-1318.46</v>
      </c>
      <c r="CL19" s="12">
        <f t="shared" si="27"/>
        <v>202.21499999999992</v>
      </c>
      <c r="CM19" s="12">
        <f t="shared" si="28"/>
        <v>1317.7850000000001</v>
      </c>
      <c r="CN19" s="12">
        <f t="shared" si="29"/>
        <v>-1320</v>
      </c>
      <c r="CO19" s="27">
        <f t="shared" si="30"/>
        <v>-2.2149999999999181</v>
      </c>
      <c r="CP19" s="30">
        <f t="shared" si="31"/>
        <v>132</v>
      </c>
      <c r="CQ19" s="30">
        <v>0</v>
      </c>
      <c r="CR19">
        <v>-0.68500000000000005</v>
      </c>
      <c r="CS19" s="40">
        <f t="shared" si="32"/>
        <v>1317.7750000000001</v>
      </c>
      <c r="CT19" s="40">
        <f t="shared" si="33"/>
        <v>-2.2249999999999091</v>
      </c>
      <c r="CU19" s="40">
        <f t="shared" si="34"/>
        <v>1320</v>
      </c>
    </row>
    <row r="20" spans="2:111" x14ac:dyDescent="0.45">
      <c r="B20">
        <f t="shared" si="44"/>
        <v>12</v>
      </c>
      <c r="C20">
        <v>20</v>
      </c>
      <c r="D20">
        <f t="shared" si="45"/>
        <v>240</v>
      </c>
      <c r="E20" s="2">
        <v>240.16</v>
      </c>
      <c r="F20" s="23">
        <f t="shared" si="46"/>
        <v>20.079999999999984</v>
      </c>
      <c r="G20" s="6">
        <f t="shared" si="35"/>
        <v>0.15999999999999659</v>
      </c>
      <c r="H20" s="12">
        <f t="shared" si="47"/>
        <v>7.9999999999984084E-2</v>
      </c>
      <c r="J20" s="20">
        <f t="shared" si="0"/>
        <v>1.0000000000019327E-2</v>
      </c>
      <c r="K20" s="2"/>
      <c r="L20">
        <f t="shared" ref="L20" si="70">L19+1</f>
        <v>12</v>
      </c>
      <c r="M20">
        <v>20</v>
      </c>
      <c r="N20">
        <f t="shared" si="49"/>
        <v>240</v>
      </c>
      <c r="O20" s="2">
        <v>239.93</v>
      </c>
      <c r="P20" s="23">
        <f t="shared" si="50"/>
        <v>20.090000000000003</v>
      </c>
      <c r="Q20" s="6">
        <f t="shared" si="36"/>
        <v>-6.9999999999993179E-2</v>
      </c>
      <c r="R20" s="27">
        <f t="shared" si="51"/>
        <v>9.0000000000003411E-2</v>
      </c>
      <c r="S20" s="2"/>
      <c r="T20" s="35"/>
      <c r="U20" s="19"/>
      <c r="V20" s="15">
        <f t="shared" si="52"/>
        <v>23</v>
      </c>
      <c r="W20" s="15">
        <f t="shared" si="53"/>
        <v>240</v>
      </c>
      <c r="X20" s="19">
        <v>239.92</v>
      </c>
      <c r="Y20" s="12">
        <f t="shared" si="54"/>
        <v>239.42499999999998</v>
      </c>
      <c r="Z20" s="27">
        <f t="shared" si="55"/>
        <v>-0.57500000000001705</v>
      </c>
      <c r="AA20" s="30">
        <f t="shared" si="56"/>
        <v>24</v>
      </c>
      <c r="AB20" s="30">
        <v>0</v>
      </c>
      <c r="AC20" s="19">
        <v>0.48499999999999999</v>
      </c>
      <c r="AD20" s="28">
        <f t="shared" si="37"/>
        <v>239.43499999999997</v>
      </c>
      <c r="AE20" s="29">
        <f t="shared" si="38"/>
        <v>-0.56500000000002615</v>
      </c>
      <c r="AF20" s="19"/>
      <c r="AG20" s="20">
        <f t="shared" si="39"/>
        <v>0.24000000000000909</v>
      </c>
      <c r="AI20" s="15">
        <f t="shared" si="57"/>
        <v>23</v>
      </c>
      <c r="AJ20" s="15">
        <f t="shared" si="58"/>
        <v>240</v>
      </c>
      <c r="AK20" s="2">
        <v>240.16</v>
      </c>
      <c r="AL20" s="12">
        <f t="shared" si="59"/>
        <v>239.58500000000001</v>
      </c>
      <c r="AM20" s="27">
        <f t="shared" si="60"/>
        <v>-0.41499999999999204</v>
      </c>
      <c r="AN20" s="30">
        <f t="shared" si="61"/>
        <v>24</v>
      </c>
      <c r="AO20" s="30">
        <v>0</v>
      </c>
      <c r="AP20" s="19">
        <v>0.55500000000000005</v>
      </c>
      <c r="AQ20" s="28">
        <f t="shared" si="40"/>
        <v>239.60499999999999</v>
      </c>
      <c r="AR20" s="29">
        <f t="shared" si="41"/>
        <v>-0.39500000000001023</v>
      </c>
      <c r="AT20" s="36"/>
      <c r="AU20" s="36"/>
      <c r="AW20">
        <f t="shared" si="1"/>
        <v>65</v>
      </c>
      <c r="AX20">
        <f t="shared" si="2"/>
        <v>-20</v>
      </c>
      <c r="AY20">
        <f t="shared" si="3"/>
        <v>220</v>
      </c>
      <c r="AZ20" s="2">
        <v>-1298.22</v>
      </c>
      <c r="BA20" s="2">
        <f t="shared" si="4"/>
        <v>221.77999999999952</v>
      </c>
      <c r="BB20" s="23">
        <f t="shared" si="5"/>
        <v>-19.980000000000018</v>
      </c>
      <c r="BC20" s="6">
        <f t="shared" si="6"/>
        <v>-1.779999999999518</v>
      </c>
      <c r="BD20" s="12">
        <f t="shared" si="7"/>
        <v>-1.999999999998181E-2</v>
      </c>
      <c r="BF20" s="20">
        <f t="shared" si="42"/>
        <v>-1.4999999999872671E-2</v>
      </c>
      <c r="BH20">
        <f t="shared" si="8"/>
        <v>65</v>
      </c>
      <c r="BI20">
        <f t="shared" si="9"/>
        <v>-20</v>
      </c>
      <c r="BJ20">
        <f t="shared" si="10"/>
        <v>220</v>
      </c>
      <c r="BK20" s="2">
        <v>-1298.26</v>
      </c>
      <c r="BL20" s="2">
        <f t="shared" si="11"/>
        <v>221.73999999999933</v>
      </c>
      <c r="BM20" s="23">
        <f t="shared" si="12"/>
        <v>-19.994999999999891</v>
      </c>
      <c r="BN20" s="6">
        <f t="shared" si="13"/>
        <v>-1.739999999999327</v>
      </c>
      <c r="BO20" s="12">
        <f t="shared" si="14"/>
        <v>-5.0000000001091394E-3</v>
      </c>
      <c r="BP20" s="10"/>
      <c r="BQ20" s="35"/>
      <c r="BR20" s="8"/>
      <c r="BS20" s="15">
        <f t="shared" si="15"/>
        <v>129</v>
      </c>
      <c r="BT20" s="15">
        <f t="shared" si="16"/>
        <v>220</v>
      </c>
      <c r="BU20" s="2">
        <v>-1298.26</v>
      </c>
      <c r="BV20" s="12">
        <f t="shared" si="17"/>
        <v>222.34999999999991</v>
      </c>
      <c r="BW20" s="12">
        <f t="shared" si="18"/>
        <v>1297.6500000000001</v>
      </c>
      <c r="BX20" s="12">
        <f t="shared" si="19"/>
        <v>-1300</v>
      </c>
      <c r="BY20" s="27">
        <f t="shared" si="20"/>
        <v>-2.3499999999999091</v>
      </c>
      <c r="BZ20" s="30">
        <f t="shared" si="21"/>
        <v>130</v>
      </c>
      <c r="CA20" s="30">
        <v>0</v>
      </c>
      <c r="CB20">
        <v>-0.60499999999999998</v>
      </c>
      <c r="CC20" s="40">
        <f t="shared" si="22"/>
        <v>1297.655</v>
      </c>
      <c r="CD20" s="40">
        <f t="shared" si="23"/>
        <v>-2.3450000000000273</v>
      </c>
      <c r="CE20" s="40">
        <f t="shared" si="24"/>
        <v>1300</v>
      </c>
      <c r="CF20" s="6"/>
      <c r="CG20" s="20">
        <f t="shared" si="43"/>
        <v>0.15499999999997272</v>
      </c>
      <c r="CH20" s="10"/>
      <c r="CI20" s="15">
        <f t="shared" si="25"/>
        <v>129</v>
      </c>
      <c r="CJ20" s="15">
        <f t="shared" si="26"/>
        <v>220</v>
      </c>
      <c r="CK20" s="2">
        <v>-1298.415</v>
      </c>
      <c r="CL20" s="12">
        <f t="shared" si="27"/>
        <v>222.25500000000011</v>
      </c>
      <c r="CM20" s="12">
        <f t="shared" si="28"/>
        <v>1297.7449999999999</v>
      </c>
      <c r="CN20" s="12">
        <f t="shared" si="29"/>
        <v>-1300</v>
      </c>
      <c r="CO20" s="27">
        <f t="shared" si="30"/>
        <v>-2.2550000000001091</v>
      </c>
      <c r="CP20" s="30">
        <f t="shared" si="31"/>
        <v>130</v>
      </c>
      <c r="CQ20" s="30">
        <v>0</v>
      </c>
      <c r="CR20">
        <v>-0.67500000000000004</v>
      </c>
      <c r="CS20" s="40">
        <f t="shared" si="32"/>
        <v>1297.74</v>
      </c>
      <c r="CT20" s="40">
        <f t="shared" si="33"/>
        <v>-2.2599999999999909</v>
      </c>
      <c r="CU20" s="40">
        <f t="shared" si="34"/>
        <v>1300</v>
      </c>
    </row>
    <row r="21" spans="2:111" x14ac:dyDescent="0.45">
      <c r="B21">
        <f t="shared" si="44"/>
        <v>13</v>
      </c>
      <c r="C21">
        <v>20</v>
      </c>
      <c r="D21">
        <f t="shared" si="45"/>
        <v>260</v>
      </c>
      <c r="E21" s="2">
        <v>260.19499999999999</v>
      </c>
      <c r="F21" s="23">
        <f t="shared" si="46"/>
        <v>20.034999999999997</v>
      </c>
      <c r="G21" s="6">
        <f t="shared" si="35"/>
        <v>0.19499999999999318</v>
      </c>
      <c r="H21" s="12">
        <f t="shared" si="47"/>
        <v>3.4999999999996589E-2</v>
      </c>
      <c r="J21" s="20">
        <f t="shared" si="0"/>
        <v>7.00000000000216E-2</v>
      </c>
      <c r="K21" s="2"/>
      <c r="L21">
        <f t="shared" ref="L21" si="71">L20+1</f>
        <v>13</v>
      </c>
      <c r="M21">
        <v>20</v>
      </c>
      <c r="N21">
        <f t="shared" si="49"/>
        <v>260</v>
      </c>
      <c r="O21" s="2">
        <v>260.03500000000003</v>
      </c>
      <c r="P21" s="23">
        <f t="shared" si="50"/>
        <v>20.105000000000018</v>
      </c>
      <c r="Q21" s="6">
        <f t="shared" si="36"/>
        <v>3.5000000000025011E-2</v>
      </c>
      <c r="R21" s="27">
        <f t="shared" si="51"/>
        <v>0.10500000000001819</v>
      </c>
      <c r="S21" s="2"/>
      <c r="T21" s="35"/>
      <c r="U21" s="19"/>
      <c r="V21" s="15">
        <f t="shared" si="52"/>
        <v>25</v>
      </c>
      <c r="W21" s="15">
        <f t="shared" si="53"/>
        <v>260</v>
      </c>
      <c r="X21" s="19">
        <v>259.92500000000001</v>
      </c>
      <c r="Y21" s="12">
        <f t="shared" si="54"/>
        <v>259.44</v>
      </c>
      <c r="Z21" s="27">
        <f t="shared" si="55"/>
        <v>-0.56000000000000227</v>
      </c>
      <c r="AA21" s="30">
        <f t="shared" si="56"/>
        <v>26</v>
      </c>
      <c r="AB21" s="30">
        <v>0</v>
      </c>
      <c r="AC21" s="19">
        <v>0.48499999999999999</v>
      </c>
      <c r="AD21" s="28">
        <f t="shared" si="37"/>
        <v>259.44</v>
      </c>
      <c r="AE21" s="29">
        <f t="shared" si="38"/>
        <v>-0.56000000000000227</v>
      </c>
      <c r="AF21" s="19"/>
      <c r="AG21" s="20">
        <f t="shared" si="39"/>
        <v>0.26499999999998636</v>
      </c>
      <c r="AI21" s="15">
        <f t="shared" si="57"/>
        <v>25</v>
      </c>
      <c r="AJ21" s="15">
        <f t="shared" si="58"/>
        <v>260</v>
      </c>
      <c r="AK21" s="2">
        <v>260.19</v>
      </c>
      <c r="AL21" s="12">
        <f t="shared" si="59"/>
        <v>259.63499999999999</v>
      </c>
      <c r="AM21" s="27">
        <f t="shared" si="60"/>
        <v>-0.36500000000000909</v>
      </c>
      <c r="AN21" s="30">
        <f t="shared" si="61"/>
        <v>26</v>
      </c>
      <c r="AO21" s="30">
        <v>0</v>
      </c>
      <c r="AP21" s="19">
        <v>0.56499999999999995</v>
      </c>
      <c r="AQ21" s="28">
        <f t="shared" si="40"/>
        <v>259.625</v>
      </c>
      <c r="AR21" s="29">
        <f t="shared" si="41"/>
        <v>-0.375</v>
      </c>
      <c r="AT21" s="36"/>
      <c r="AU21" s="36"/>
      <c r="AW21">
        <f t="shared" si="1"/>
        <v>64</v>
      </c>
      <c r="AX21">
        <f t="shared" si="2"/>
        <v>-20</v>
      </c>
      <c r="AY21">
        <f t="shared" si="3"/>
        <v>240</v>
      </c>
      <c r="AZ21" s="2">
        <v>-1278.24</v>
      </c>
      <c r="BA21" s="2">
        <f t="shared" si="4"/>
        <v>241.75999999999954</v>
      </c>
      <c r="BB21" s="23">
        <f t="shared" si="5"/>
        <v>-20.019999999999982</v>
      </c>
      <c r="BC21" s="6">
        <f t="shared" si="6"/>
        <v>-1.7599999999995362</v>
      </c>
      <c r="BD21" s="12">
        <f t="shared" si="7"/>
        <v>1.999999999998181E-2</v>
      </c>
      <c r="BF21" s="20">
        <f t="shared" si="42"/>
        <v>-1.0000000000218279E-2</v>
      </c>
      <c r="BH21">
        <f t="shared" si="8"/>
        <v>64</v>
      </c>
      <c r="BI21">
        <f t="shared" si="9"/>
        <v>-20</v>
      </c>
      <c r="BJ21">
        <f t="shared" si="10"/>
        <v>240</v>
      </c>
      <c r="BK21" s="2">
        <v>-1278.2650000000001</v>
      </c>
      <c r="BL21" s="2">
        <f t="shared" si="11"/>
        <v>241.73499999999922</v>
      </c>
      <c r="BM21" s="23">
        <f t="shared" si="12"/>
        <v>-20.0300000000002</v>
      </c>
      <c r="BN21" s="6">
        <f t="shared" si="13"/>
        <v>-1.7349999999992178</v>
      </c>
      <c r="BO21" s="12">
        <f t="shared" si="14"/>
        <v>3.0000000000200089E-2</v>
      </c>
      <c r="BP21" s="10"/>
      <c r="BQ21" s="35"/>
      <c r="BR21" s="8"/>
      <c r="BS21" s="15">
        <f t="shared" si="15"/>
        <v>127</v>
      </c>
      <c r="BT21" s="15">
        <f t="shared" si="16"/>
        <v>240</v>
      </c>
      <c r="BU21" s="2">
        <v>-1278.2650000000001</v>
      </c>
      <c r="BV21" s="12">
        <f t="shared" si="17"/>
        <v>242.33499999999981</v>
      </c>
      <c r="BW21" s="12">
        <f t="shared" si="18"/>
        <v>1277.6650000000002</v>
      </c>
      <c r="BX21" s="12">
        <f t="shared" si="19"/>
        <v>-1280</v>
      </c>
      <c r="BY21" s="27">
        <f t="shared" si="20"/>
        <v>-2.334999999999809</v>
      </c>
      <c r="BZ21" s="30">
        <f t="shared" si="21"/>
        <v>128</v>
      </c>
      <c r="CA21" s="30">
        <v>0</v>
      </c>
      <c r="CB21">
        <v>-0.61</v>
      </c>
      <c r="CC21" s="40">
        <f t="shared" si="22"/>
        <v>1277.6550000000002</v>
      </c>
      <c r="CD21" s="40">
        <f t="shared" si="23"/>
        <v>-2.3449999999997999</v>
      </c>
      <c r="CE21" s="40">
        <f t="shared" si="24"/>
        <v>1280</v>
      </c>
      <c r="CF21" s="6"/>
      <c r="CG21" s="20">
        <f t="shared" si="43"/>
        <v>0.13499999999999091</v>
      </c>
      <c r="CH21" s="10"/>
      <c r="CI21" s="15">
        <f t="shared" si="25"/>
        <v>127</v>
      </c>
      <c r="CJ21" s="15">
        <f t="shared" si="26"/>
        <v>240</v>
      </c>
      <c r="CK21" s="2">
        <v>-1278.4000000000001</v>
      </c>
      <c r="CL21" s="12">
        <f t="shared" si="27"/>
        <v>242.26999999999998</v>
      </c>
      <c r="CM21" s="12">
        <f t="shared" si="28"/>
        <v>1277.73</v>
      </c>
      <c r="CN21" s="12">
        <f t="shared" si="29"/>
        <v>-1280</v>
      </c>
      <c r="CO21" s="27">
        <f t="shared" si="30"/>
        <v>-2.2699999999999818</v>
      </c>
      <c r="CP21" s="30">
        <f t="shared" si="31"/>
        <v>128</v>
      </c>
      <c r="CQ21" s="30">
        <v>0</v>
      </c>
      <c r="CR21">
        <v>-0.67</v>
      </c>
      <c r="CS21" s="40">
        <f t="shared" si="32"/>
        <v>1277.73</v>
      </c>
      <c r="CT21" s="40">
        <f t="shared" si="33"/>
        <v>-2.2699999999999818</v>
      </c>
      <c r="CU21" s="40">
        <f t="shared" si="34"/>
        <v>1280</v>
      </c>
      <c r="DB21" s="2"/>
      <c r="DC21" s="2"/>
      <c r="DD21" s="2"/>
      <c r="DE21" s="6"/>
      <c r="DF21" s="12"/>
      <c r="DG21" s="10"/>
    </row>
    <row r="22" spans="2:111" x14ac:dyDescent="0.45">
      <c r="B22">
        <f t="shared" si="44"/>
        <v>14</v>
      </c>
      <c r="C22">
        <v>20</v>
      </c>
      <c r="D22">
        <f t="shared" si="45"/>
        <v>280</v>
      </c>
      <c r="E22" s="2">
        <v>280.23</v>
      </c>
      <c r="F22" s="23">
        <f t="shared" si="46"/>
        <v>20.035000000000025</v>
      </c>
      <c r="G22" s="6">
        <f t="shared" si="35"/>
        <v>0.23000000000001819</v>
      </c>
      <c r="H22" s="12">
        <f t="shared" si="47"/>
        <v>3.5000000000025011E-2</v>
      </c>
      <c r="J22" s="20">
        <f t="shared" si="0"/>
        <v>-4.0000000000077307E-2</v>
      </c>
      <c r="K22" s="2"/>
      <c r="L22">
        <f t="shared" ref="L22" si="72">L21+1</f>
        <v>14</v>
      </c>
      <c r="M22">
        <v>20</v>
      </c>
      <c r="N22">
        <f t="shared" si="49"/>
        <v>280</v>
      </c>
      <c r="O22" s="2">
        <v>280.02999999999997</v>
      </c>
      <c r="P22" s="23">
        <f t="shared" si="50"/>
        <v>19.994999999999948</v>
      </c>
      <c r="Q22" s="6">
        <f t="shared" si="36"/>
        <v>2.9999999999972715E-2</v>
      </c>
      <c r="R22" s="27">
        <f t="shared" si="51"/>
        <v>-5.0000000000522959E-3</v>
      </c>
      <c r="S22" s="2"/>
      <c r="T22" s="35"/>
      <c r="U22" s="19"/>
      <c r="V22" s="15">
        <f t="shared" si="52"/>
        <v>27</v>
      </c>
      <c r="W22" s="15">
        <f t="shared" si="53"/>
        <v>280</v>
      </c>
      <c r="X22" s="19">
        <v>280.01</v>
      </c>
      <c r="Y22" s="12">
        <f t="shared" si="54"/>
        <v>279.52499999999998</v>
      </c>
      <c r="Z22" s="27">
        <f t="shared" si="55"/>
        <v>-0.47500000000002274</v>
      </c>
      <c r="AA22" s="30">
        <f t="shared" si="56"/>
        <v>28</v>
      </c>
      <c r="AB22" s="30">
        <v>0</v>
      </c>
      <c r="AC22" s="19">
        <v>0.48499999999999999</v>
      </c>
      <c r="AD22" s="28">
        <f t="shared" si="37"/>
        <v>279.52499999999998</v>
      </c>
      <c r="AE22" s="29">
        <f t="shared" si="38"/>
        <v>-0.47500000000002274</v>
      </c>
      <c r="AF22" s="19"/>
      <c r="AG22" s="20">
        <f t="shared" si="39"/>
        <v>0.22500000000002274</v>
      </c>
      <c r="AI22" s="15">
        <f t="shared" si="57"/>
        <v>27</v>
      </c>
      <c r="AJ22" s="15">
        <f t="shared" si="58"/>
        <v>280</v>
      </c>
      <c r="AK22" s="2">
        <v>280.23500000000001</v>
      </c>
      <c r="AL22" s="12">
        <f t="shared" si="59"/>
        <v>279.67</v>
      </c>
      <c r="AM22" s="27">
        <f t="shared" si="60"/>
        <v>-0.32999999999998408</v>
      </c>
      <c r="AN22" s="30">
        <f t="shared" si="61"/>
        <v>28</v>
      </c>
      <c r="AO22" s="30">
        <v>0</v>
      </c>
      <c r="AP22" s="19">
        <v>0.57499999999999996</v>
      </c>
      <c r="AQ22" s="28">
        <f t="shared" si="40"/>
        <v>279.66000000000003</v>
      </c>
      <c r="AR22" s="29">
        <f t="shared" si="41"/>
        <v>-0.33999999999997499</v>
      </c>
      <c r="AT22" s="36"/>
      <c r="AU22" s="36"/>
      <c r="AW22">
        <f t="shared" si="1"/>
        <v>63</v>
      </c>
      <c r="AX22">
        <f t="shared" si="2"/>
        <v>-20</v>
      </c>
      <c r="AY22">
        <f t="shared" si="3"/>
        <v>260</v>
      </c>
      <c r="AZ22" s="2">
        <v>-1258.22</v>
      </c>
      <c r="BA22" s="2">
        <f t="shared" si="4"/>
        <v>261.77999999999952</v>
      </c>
      <c r="BB22" s="23">
        <f t="shared" si="5"/>
        <v>-20.055000000000064</v>
      </c>
      <c r="BC22" s="6">
        <f t="shared" si="6"/>
        <v>-1.779999999999518</v>
      </c>
      <c r="BD22" s="12">
        <f t="shared" si="7"/>
        <v>5.5000000000063665E-2</v>
      </c>
      <c r="BF22" s="20">
        <f t="shared" si="42"/>
        <v>-2.4999999999863576E-2</v>
      </c>
      <c r="BH22">
        <f t="shared" si="8"/>
        <v>63</v>
      </c>
      <c r="BI22">
        <f t="shared" si="9"/>
        <v>-20</v>
      </c>
      <c r="BJ22">
        <f t="shared" si="10"/>
        <v>260</v>
      </c>
      <c r="BK22" s="2">
        <v>-1258.2349999999999</v>
      </c>
      <c r="BL22" s="2">
        <f t="shared" si="11"/>
        <v>261.76499999999942</v>
      </c>
      <c r="BM22" s="23">
        <f t="shared" si="12"/>
        <v>-20.079999999999927</v>
      </c>
      <c r="BN22" s="6">
        <f t="shared" si="13"/>
        <v>-1.7649999999994179</v>
      </c>
      <c r="BO22" s="12">
        <f t="shared" si="14"/>
        <v>7.999999999992724E-2</v>
      </c>
      <c r="BP22" s="10"/>
      <c r="BQ22" s="35"/>
      <c r="BR22" s="8"/>
      <c r="BS22" s="15">
        <f t="shared" si="15"/>
        <v>125</v>
      </c>
      <c r="BT22" s="15">
        <f t="shared" si="16"/>
        <v>260</v>
      </c>
      <c r="BU22" s="2">
        <v>-1258.2349999999999</v>
      </c>
      <c r="BV22" s="12">
        <f t="shared" si="17"/>
        <v>262.37000000000012</v>
      </c>
      <c r="BW22" s="12">
        <f t="shared" si="18"/>
        <v>1257.6299999999999</v>
      </c>
      <c r="BX22" s="12">
        <f t="shared" si="19"/>
        <v>-1260</v>
      </c>
      <c r="BY22" s="27">
        <f t="shared" si="20"/>
        <v>-2.3700000000001182</v>
      </c>
      <c r="BZ22" s="30">
        <f t="shared" si="21"/>
        <v>126</v>
      </c>
      <c r="CA22" s="30">
        <v>0</v>
      </c>
      <c r="CB22">
        <v>-0.6</v>
      </c>
      <c r="CC22" s="40">
        <f t="shared" si="22"/>
        <v>1257.635</v>
      </c>
      <c r="CD22" s="40">
        <f t="shared" si="23"/>
        <v>-2.3650000000000091</v>
      </c>
      <c r="CE22" s="40">
        <f t="shared" si="24"/>
        <v>1260</v>
      </c>
      <c r="CF22" s="6"/>
      <c r="CG22" s="20">
        <f t="shared" si="43"/>
        <v>6.0000000000172804E-2</v>
      </c>
      <c r="CH22" s="10"/>
      <c r="CI22" s="15">
        <f t="shared" si="25"/>
        <v>125</v>
      </c>
      <c r="CJ22" s="15">
        <f t="shared" si="26"/>
        <v>260</v>
      </c>
      <c r="CK22" s="2">
        <v>-1258.2950000000001</v>
      </c>
      <c r="CL22" s="12">
        <f t="shared" si="27"/>
        <v>262.36500000000001</v>
      </c>
      <c r="CM22" s="12">
        <f t="shared" si="28"/>
        <v>1257.635</v>
      </c>
      <c r="CN22" s="12">
        <f t="shared" si="29"/>
        <v>-1260</v>
      </c>
      <c r="CO22" s="27">
        <f t="shared" si="30"/>
        <v>-2.3650000000000091</v>
      </c>
      <c r="CP22" s="30">
        <f t="shared" si="31"/>
        <v>126</v>
      </c>
      <c r="CQ22" s="30">
        <v>0</v>
      </c>
      <c r="CR22">
        <v>-0.67</v>
      </c>
      <c r="CS22" s="40">
        <f t="shared" si="32"/>
        <v>1257.625</v>
      </c>
      <c r="CT22" s="40">
        <f t="shared" si="33"/>
        <v>-2.375</v>
      </c>
      <c r="CU22" s="40">
        <f t="shared" si="34"/>
        <v>1260</v>
      </c>
      <c r="DB22" s="2"/>
      <c r="DC22" s="2"/>
      <c r="DD22" s="2"/>
      <c r="DE22" s="6"/>
      <c r="DF22" s="12"/>
      <c r="DG22" s="10"/>
    </row>
    <row r="23" spans="2:111" x14ac:dyDescent="0.45">
      <c r="B23">
        <f t="shared" si="44"/>
        <v>15</v>
      </c>
      <c r="C23">
        <v>20</v>
      </c>
      <c r="D23">
        <f t="shared" si="45"/>
        <v>300</v>
      </c>
      <c r="E23" s="2">
        <v>300.185</v>
      </c>
      <c r="F23" s="23">
        <f t="shared" si="46"/>
        <v>19.954999999999984</v>
      </c>
      <c r="G23" s="6">
        <f t="shared" si="35"/>
        <v>0.18500000000000227</v>
      </c>
      <c r="H23" s="12">
        <f t="shared" si="47"/>
        <v>-4.5000000000015916E-2</v>
      </c>
      <c r="J23" s="20">
        <f t="shared" si="0"/>
        <v>5.6843418860808015E-14</v>
      </c>
      <c r="K23" s="2"/>
      <c r="L23">
        <f t="shared" ref="L23" si="73">L22+1</f>
        <v>15</v>
      </c>
      <c r="M23">
        <v>20</v>
      </c>
      <c r="N23">
        <f t="shared" si="49"/>
        <v>300</v>
      </c>
      <c r="O23" s="2">
        <v>299.98500000000001</v>
      </c>
      <c r="P23" s="23">
        <f t="shared" si="50"/>
        <v>19.955000000000041</v>
      </c>
      <c r="Q23" s="6">
        <f t="shared" si="36"/>
        <v>-1.4999999999986358E-2</v>
      </c>
      <c r="R23" s="27">
        <f t="shared" si="51"/>
        <v>-4.4999999999959073E-2</v>
      </c>
      <c r="S23" s="2"/>
      <c r="T23" s="35"/>
      <c r="U23" s="19"/>
      <c r="V23" s="15">
        <f t="shared" si="52"/>
        <v>29</v>
      </c>
      <c r="W23" s="15">
        <f t="shared" si="53"/>
        <v>300</v>
      </c>
      <c r="X23" s="19">
        <v>299.92500000000001</v>
      </c>
      <c r="Y23" s="12">
        <f t="shared" si="54"/>
        <v>299.44</v>
      </c>
      <c r="Z23" s="27">
        <f t="shared" si="55"/>
        <v>-0.56000000000000227</v>
      </c>
      <c r="AA23" s="30">
        <f t="shared" si="56"/>
        <v>30</v>
      </c>
      <c r="AB23" s="30">
        <v>0</v>
      </c>
      <c r="AC23" s="19">
        <v>0.48499999999999999</v>
      </c>
      <c r="AD23" s="28">
        <f t="shared" si="37"/>
        <v>299.44</v>
      </c>
      <c r="AE23" s="29">
        <f t="shared" si="38"/>
        <v>-0.56000000000000227</v>
      </c>
      <c r="AF23" s="19"/>
      <c r="AG23" s="20">
        <f t="shared" si="39"/>
        <v>0.27499999999997726</v>
      </c>
      <c r="AI23" s="15">
        <f t="shared" si="57"/>
        <v>29</v>
      </c>
      <c r="AJ23" s="15">
        <f t="shared" si="58"/>
        <v>300</v>
      </c>
      <c r="AK23" s="2">
        <v>300.2</v>
      </c>
      <c r="AL23" s="12">
        <f t="shared" si="59"/>
        <v>299.625</v>
      </c>
      <c r="AM23" s="27">
        <f t="shared" si="60"/>
        <v>-0.375</v>
      </c>
      <c r="AN23" s="30">
        <f t="shared" si="61"/>
        <v>30</v>
      </c>
      <c r="AO23" s="30">
        <v>0</v>
      </c>
      <c r="AP23" s="19">
        <v>0.56499999999999995</v>
      </c>
      <c r="AQ23" s="28">
        <f t="shared" si="40"/>
        <v>299.63499999999999</v>
      </c>
      <c r="AR23" s="29">
        <f t="shared" si="41"/>
        <v>-0.36500000000000909</v>
      </c>
      <c r="AT23" s="36"/>
      <c r="AU23" s="36"/>
      <c r="AW23">
        <f t="shared" si="1"/>
        <v>62</v>
      </c>
      <c r="AX23">
        <f t="shared" si="2"/>
        <v>-20</v>
      </c>
      <c r="AY23">
        <f t="shared" si="3"/>
        <v>280</v>
      </c>
      <c r="AZ23" s="2">
        <v>-1238.165</v>
      </c>
      <c r="BA23" s="2">
        <f t="shared" si="4"/>
        <v>281.83499999999958</v>
      </c>
      <c r="BB23" s="23">
        <f t="shared" si="5"/>
        <v>-19.980000000000018</v>
      </c>
      <c r="BC23" s="6">
        <f t="shared" si="6"/>
        <v>-1.8349999999995816</v>
      </c>
      <c r="BD23" s="12">
        <f t="shared" si="7"/>
        <v>-1.999999999998181E-2</v>
      </c>
      <c r="BF23" s="20">
        <f t="shared" si="42"/>
        <v>1.5000000000100044E-2</v>
      </c>
      <c r="BH23">
        <f t="shared" si="8"/>
        <v>62</v>
      </c>
      <c r="BI23">
        <f t="shared" si="9"/>
        <v>-20</v>
      </c>
      <c r="BJ23">
        <f t="shared" si="10"/>
        <v>280</v>
      </c>
      <c r="BK23" s="2">
        <v>-1238.155</v>
      </c>
      <c r="BL23" s="2">
        <f t="shared" si="11"/>
        <v>281.84499999999935</v>
      </c>
      <c r="BM23" s="23">
        <f t="shared" si="12"/>
        <v>-19.964999999999918</v>
      </c>
      <c r="BN23" s="6">
        <f t="shared" si="13"/>
        <v>-1.8449999999993452</v>
      </c>
      <c r="BO23" s="12">
        <f t="shared" si="14"/>
        <v>-3.5000000000081855E-2</v>
      </c>
      <c r="BP23" s="10"/>
      <c r="BQ23" s="35"/>
      <c r="BR23" s="8"/>
      <c r="BS23" s="15">
        <f t="shared" si="15"/>
        <v>123</v>
      </c>
      <c r="BT23" s="15">
        <f t="shared" si="16"/>
        <v>280</v>
      </c>
      <c r="BU23" s="2">
        <v>-1238.155</v>
      </c>
      <c r="BV23" s="12">
        <f t="shared" si="17"/>
        <v>282.44499999999994</v>
      </c>
      <c r="BW23" s="12">
        <f t="shared" si="18"/>
        <v>1237.5550000000001</v>
      </c>
      <c r="BX23" s="12">
        <f t="shared" si="19"/>
        <v>-1240</v>
      </c>
      <c r="BY23" s="27">
        <f t="shared" si="20"/>
        <v>-2.4449999999999363</v>
      </c>
      <c r="BZ23" s="30">
        <f t="shared" si="21"/>
        <v>124</v>
      </c>
      <c r="CA23" s="30">
        <v>0</v>
      </c>
      <c r="CB23">
        <v>-0.60499999999999998</v>
      </c>
      <c r="CC23" s="40">
        <f t="shared" si="22"/>
        <v>1237.55</v>
      </c>
      <c r="CD23" s="40">
        <f t="shared" si="23"/>
        <v>-2.4500000000000455</v>
      </c>
      <c r="CE23" s="40">
        <f t="shared" si="24"/>
        <v>1240</v>
      </c>
      <c r="CF23" s="6"/>
      <c r="CG23" s="20">
        <f t="shared" si="43"/>
        <v>0.10500000000001819</v>
      </c>
      <c r="CH23" s="10"/>
      <c r="CI23" s="15">
        <f t="shared" si="25"/>
        <v>123</v>
      </c>
      <c r="CJ23" s="15">
        <f t="shared" si="26"/>
        <v>280</v>
      </c>
      <c r="CK23" s="2">
        <v>-1238.26</v>
      </c>
      <c r="CL23" s="12">
        <f t="shared" si="27"/>
        <v>282.40499999999997</v>
      </c>
      <c r="CM23" s="12">
        <f t="shared" si="28"/>
        <v>1237.595</v>
      </c>
      <c r="CN23" s="12">
        <f t="shared" si="29"/>
        <v>-1240</v>
      </c>
      <c r="CO23" s="27">
        <f t="shared" si="30"/>
        <v>-2.4049999999999727</v>
      </c>
      <c r="CP23" s="30">
        <f t="shared" si="31"/>
        <v>124</v>
      </c>
      <c r="CQ23" s="30">
        <v>0</v>
      </c>
      <c r="CR23">
        <v>-0.66</v>
      </c>
      <c r="CS23" s="40">
        <f t="shared" si="32"/>
        <v>1237.5999999999999</v>
      </c>
      <c r="CT23" s="40">
        <f t="shared" si="33"/>
        <v>-2.4000000000000909</v>
      </c>
      <c r="CU23" s="40">
        <f t="shared" si="34"/>
        <v>1240</v>
      </c>
      <c r="DB23" s="2"/>
      <c r="DC23" s="2"/>
      <c r="DD23" s="2"/>
      <c r="DE23" s="6"/>
      <c r="DF23" s="12"/>
      <c r="DG23" s="10"/>
    </row>
    <row r="24" spans="2:111" x14ac:dyDescent="0.45">
      <c r="B24">
        <f t="shared" si="44"/>
        <v>16</v>
      </c>
      <c r="C24">
        <v>20</v>
      </c>
      <c r="D24">
        <f t="shared" si="45"/>
        <v>320</v>
      </c>
      <c r="E24" s="2">
        <v>320.15499999999997</v>
      </c>
      <c r="F24" s="23">
        <f t="shared" si="46"/>
        <v>19.96999999999997</v>
      </c>
      <c r="G24" s="6">
        <f t="shared" si="35"/>
        <v>0.15499999999997272</v>
      </c>
      <c r="H24" s="12">
        <f t="shared" si="47"/>
        <v>-3.0000000000029559E-2</v>
      </c>
      <c r="J24" s="20">
        <f t="shared" si="0"/>
        <v>-4.9999999999954525E-3</v>
      </c>
      <c r="K24" s="2"/>
      <c r="L24">
        <f t="shared" ref="L24" si="74">L23+1</f>
        <v>16</v>
      </c>
      <c r="M24">
        <v>20</v>
      </c>
      <c r="N24">
        <f t="shared" si="49"/>
        <v>320</v>
      </c>
      <c r="O24" s="2">
        <v>319.95</v>
      </c>
      <c r="P24" s="23">
        <f t="shared" si="50"/>
        <v>19.964999999999975</v>
      </c>
      <c r="Q24" s="6">
        <f t="shared" si="36"/>
        <v>-5.0000000000011369E-2</v>
      </c>
      <c r="R24" s="27">
        <f t="shared" si="51"/>
        <v>-3.5000000000025011E-2</v>
      </c>
      <c r="S24" s="2"/>
      <c r="T24" s="35"/>
      <c r="U24" s="19"/>
      <c r="V24" s="15">
        <f t="shared" si="52"/>
        <v>31</v>
      </c>
      <c r="W24" s="15">
        <f t="shared" si="53"/>
        <v>320</v>
      </c>
      <c r="X24" s="19">
        <v>319.86</v>
      </c>
      <c r="Y24" s="12">
        <f t="shared" si="54"/>
        <v>319.375</v>
      </c>
      <c r="Z24" s="27">
        <f t="shared" si="55"/>
        <v>-0.625</v>
      </c>
      <c r="AA24" s="30">
        <f t="shared" si="56"/>
        <v>32</v>
      </c>
      <c r="AB24" s="30">
        <v>0</v>
      </c>
      <c r="AC24" s="19">
        <v>0.49</v>
      </c>
      <c r="AD24" s="28">
        <f t="shared" si="37"/>
        <v>319.37</v>
      </c>
      <c r="AE24" s="29">
        <f t="shared" si="38"/>
        <v>-0.62999999999999545</v>
      </c>
      <c r="AF24" s="19"/>
      <c r="AG24" s="20">
        <f t="shared" si="39"/>
        <v>0.24000000000000909</v>
      </c>
      <c r="AI24" s="15">
        <f t="shared" si="57"/>
        <v>31</v>
      </c>
      <c r="AJ24" s="15">
        <f t="shared" si="58"/>
        <v>320</v>
      </c>
      <c r="AK24" s="2">
        <v>320.10000000000002</v>
      </c>
      <c r="AL24" s="12">
        <f t="shared" si="59"/>
        <v>319.53500000000003</v>
      </c>
      <c r="AM24" s="27">
        <f t="shared" si="60"/>
        <v>-0.46499999999997499</v>
      </c>
      <c r="AN24" s="30">
        <f t="shared" si="61"/>
        <v>32</v>
      </c>
      <c r="AO24" s="30">
        <v>0</v>
      </c>
      <c r="AP24" s="19">
        <v>0.57499999999999996</v>
      </c>
      <c r="AQ24" s="28">
        <f t="shared" si="40"/>
        <v>319.52500000000003</v>
      </c>
      <c r="AR24" s="29">
        <f t="shared" si="41"/>
        <v>-0.47499999999996589</v>
      </c>
      <c r="AT24" s="36"/>
      <c r="AU24" s="36"/>
      <c r="AW24">
        <f t="shared" si="1"/>
        <v>61</v>
      </c>
      <c r="AX24">
        <f t="shared" si="2"/>
        <v>-20</v>
      </c>
      <c r="AY24">
        <f t="shared" si="3"/>
        <v>300</v>
      </c>
      <c r="AZ24" s="2">
        <v>-1218.1849999999999</v>
      </c>
      <c r="BA24" s="2">
        <f t="shared" si="4"/>
        <v>301.8149999999996</v>
      </c>
      <c r="BB24" s="23">
        <f t="shared" si="5"/>
        <v>-19.964999999999918</v>
      </c>
      <c r="BC24" s="6">
        <f t="shared" si="6"/>
        <v>-1.8149999999995998</v>
      </c>
      <c r="BD24" s="12">
        <f t="shared" si="7"/>
        <v>-3.5000000000081855E-2</v>
      </c>
      <c r="BF24" s="20">
        <f t="shared" si="42"/>
        <v>-5.0000000001091394E-3</v>
      </c>
      <c r="BH24">
        <f t="shared" si="8"/>
        <v>61</v>
      </c>
      <c r="BI24">
        <f t="shared" si="9"/>
        <v>-20</v>
      </c>
      <c r="BJ24">
        <f t="shared" si="10"/>
        <v>300</v>
      </c>
      <c r="BK24" s="2">
        <v>-1218.19</v>
      </c>
      <c r="BL24" s="2">
        <f t="shared" si="11"/>
        <v>301.80999999999926</v>
      </c>
      <c r="BM24" s="23">
        <f t="shared" si="12"/>
        <v>-19.970000000000027</v>
      </c>
      <c r="BN24" s="6">
        <f t="shared" si="13"/>
        <v>-1.8099999999992633</v>
      </c>
      <c r="BO24" s="12">
        <f t="shared" si="14"/>
        <v>-2.9999999999972715E-2</v>
      </c>
      <c r="BP24" s="10"/>
      <c r="BQ24" s="35"/>
      <c r="BR24" s="8"/>
      <c r="BS24" s="15">
        <f t="shared" si="15"/>
        <v>121</v>
      </c>
      <c r="BT24" s="15">
        <f t="shared" si="16"/>
        <v>300</v>
      </c>
      <c r="BU24" s="2">
        <v>-1218.19</v>
      </c>
      <c r="BV24" s="12">
        <f t="shared" si="17"/>
        <v>302.40499999999997</v>
      </c>
      <c r="BW24" s="12">
        <f t="shared" si="18"/>
        <v>1217.595</v>
      </c>
      <c r="BX24" s="12">
        <f t="shared" si="19"/>
        <v>-1220</v>
      </c>
      <c r="BY24" s="27">
        <f t="shared" si="20"/>
        <v>-2.4049999999999727</v>
      </c>
      <c r="BZ24" s="30">
        <f t="shared" si="21"/>
        <v>122</v>
      </c>
      <c r="CA24" s="30">
        <v>0</v>
      </c>
      <c r="CB24">
        <v>-0.6</v>
      </c>
      <c r="CC24" s="40">
        <f t="shared" si="22"/>
        <v>1217.5900000000001</v>
      </c>
      <c r="CD24" s="40">
        <f t="shared" si="23"/>
        <v>-2.4099999999998545</v>
      </c>
      <c r="CE24" s="40">
        <f t="shared" si="24"/>
        <v>1220</v>
      </c>
      <c r="CF24" s="6"/>
      <c r="CG24" s="20">
        <f t="shared" si="43"/>
        <v>9.9999999999909051E-2</v>
      </c>
      <c r="CH24" s="10"/>
      <c r="CI24" s="15">
        <f t="shared" si="25"/>
        <v>121</v>
      </c>
      <c r="CJ24" s="15">
        <f t="shared" si="26"/>
        <v>300</v>
      </c>
      <c r="CK24" s="2">
        <v>-1218.29</v>
      </c>
      <c r="CL24" s="12">
        <f t="shared" si="27"/>
        <v>302.36500000000001</v>
      </c>
      <c r="CM24" s="12">
        <f t="shared" si="28"/>
        <v>1217.635</v>
      </c>
      <c r="CN24" s="12">
        <f t="shared" si="29"/>
        <v>-1220</v>
      </c>
      <c r="CO24" s="27">
        <f t="shared" si="30"/>
        <v>-2.3650000000000091</v>
      </c>
      <c r="CP24" s="30">
        <f t="shared" si="31"/>
        <v>122</v>
      </c>
      <c r="CQ24" s="30">
        <v>0</v>
      </c>
      <c r="CR24">
        <v>-0.66500000000000004</v>
      </c>
      <c r="CS24" s="40">
        <f t="shared" si="32"/>
        <v>1217.625</v>
      </c>
      <c r="CT24" s="40">
        <f t="shared" si="33"/>
        <v>-2.375</v>
      </c>
      <c r="CU24" s="40">
        <f t="shared" si="34"/>
        <v>1220</v>
      </c>
      <c r="DB24" s="2"/>
      <c r="DC24" s="2"/>
      <c r="DD24" s="2"/>
      <c r="DE24" s="6"/>
      <c r="DF24" s="12"/>
      <c r="DG24" s="10"/>
    </row>
    <row r="25" spans="2:111" x14ac:dyDescent="0.45">
      <c r="B25">
        <f t="shared" si="44"/>
        <v>17</v>
      </c>
      <c r="C25">
        <v>20</v>
      </c>
      <c r="D25">
        <f t="shared" si="45"/>
        <v>340</v>
      </c>
      <c r="E25" s="2">
        <v>340.19499999999999</v>
      </c>
      <c r="F25" s="23">
        <f t="shared" si="46"/>
        <v>20.04000000000002</v>
      </c>
      <c r="G25" s="6">
        <f t="shared" si="35"/>
        <v>0.19499999999999318</v>
      </c>
      <c r="H25" s="12">
        <f t="shared" si="47"/>
        <v>4.0000000000020464E-2</v>
      </c>
      <c r="J25" s="20">
        <f t="shared" si="0"/>
        <v>4.9999999999954525E-3</v>
      </c>
      <c r="K25" s="2"/>
      <c r="L25">
        <f t="shared" ref="L25" si="75">L24+1</f>
        <v>17</v>
      </c>
      <c r="M25">
        <v>20</v>
      </c>
      <c r="N25">
        <f t="shared" si="49"/>
        <v>340</v>
      </c>
      <c r="O25" s="2">
        <v>339.995</v>
      </c>
      <c r="P25" s="23">
        <f t="shared" si="50"/>
        <v>20.045000000000016</v>
      </c>
      <c r="Q25" s="6">
        <f t="shared" si="36"/>
        <v>-4.9999999999954525E-3</v>
      </c>
      <c r="R25" s="27">
        <f t="shared" si="51"/>
        <v>4.5000000000015916E-2</v>
      </c>
      <c r="S25" s="2"/>
      <c r="T25" s="35"/>
      <c r="U25" s="19"/>
      <c r="V25" s="15">
        <f t="shared" si="52"/>
        <v>33</v>
      </c>
      <c r="W25" s="15">
        <f t="shared" si="53"/>
        <v>340</v>
      </c>
      <c r="X25" s="19">
        <v>339.96</v>
      </c>
      <c r="Y25" s="12">
        <f t="shared" si="54"/>
        <v>339.46999999999997</v>
      </c>
      <c r="Z25" s="27">
        <f t="shared" si="55"/>
        <v>-0.53000000000002956</v>
      </c>
      <c r="AA25" s="30">
        <f t="shared" si="56"/>
        <v>34</v>
      </c>
      <c r="AB25" s="30">
        <v>0</v>
      </c>
      <c r="AC25" s="19">
        <v>0.48</v>
      </c>
      <c r="AD25" s="28">
        <f t="shared" si="37"/>
        <v>339.47999999999996</v>
      </c>
      <c r="AE25" s="29">
        <f t="shared" si="38"/>
        <v>-0.52000000000003865</v>
      </c>
      <c r="AF25" s="19"/>
      <c r="AG25" s="20">
        <f t="shared" si="39"/>
        <v>0.21500000000003183</v>
      </c>
      <c r="AI25" s="15">
        <f t="shared" si="57"/>
        <v>33</v>
      </c>
      <c r="AJ25" s="15">
        <f t="shared" si="58"/>
        <v>340</v>
      </c>
      <c r="AK25" s="2">
        <v>340.17500000000001</v>
      </c>
      <c r="AL25" s="12">
        <f t="shared" si="59"/>
        <v>339.6</v>
      </c>
      <c r="AM25" s="27">
        <f t="shared" si="60"/>
        <v>-0.39999999999997726</v>
      </c>
      <c r="AN25" s="30">
        <f t="shared" si="61"/>
        <v>34</v>
      </c>
      <c r="AO25" s="30">
        <v>0</v>
      </c>
      <c r="AP25" s="19">
        <v>0.56000000000000005</v>
      </c>
      <c r="AQ25" s="28">
        <f t="shared" si="40"/>
        <v>339.61500000000001</v>
      </c>
      <c r="AR25" s="29">
        <f t="shared" si="41"/>
        <v>-0.38499999999999091</v>
      </c>
      <c r="AT25" s="36"/>
      <c r="AU25" s="36"/>
      <c r="AW25">
        <f t="shared" si="1"/>
        <v>60</v>
      </c>
      <c r="AX25">
        <f t="shared" si="2"/>
        <v>-20</v>
      </c>
      <c r="AY25">
        <f t="shared" si="3"/>
        <v>320</v>
      </c>
      <c r="AZ25" s="2">
        <v>-1198.22</v>
      </c>
      <c r="BA25" s="2">
        <f t="shared" si="4"/>
        <v>321.77999999999952</v>
      </c>
      <c r="BB25" s="23">
        <f t="shared" si="5"/>
        <v>-20.0150000000001</v>
      </c>
      <c r="BC25" s="6">
        <f t="shared" si="6"/>
        <v>-1.779999999999518</v>
      </c>
      <c r="BD25" s="12">
        <f t="shared" si="7"/>
        <v>1.5000000000100044E-2</v>
      </c>
      <c r="BF25" s="20">
        <f t="shared" si="42"/>
        <v>-4.4999999999845386E-2</v>
      </c>
      <c r="BH25">
        <f t="shared" si="8"/>
        <v>60</v>
      </c>
      <c r="BI25">
        <f t="shared" si="9"/>
        <v>-20</v>
      </c>
      <c r="BJ25">
        <f t="shared" si="10"/>
        <v>320</v>
      </c>
      <c r="BK25" s="2">
        <v>-1198.22</v>
      </c>
      <c r="BL25" s="2">
        <f t="shared" si="11"/>
        <v>321.77999999999929</v>
      </c>
      <c r="BM25" s="23">
        <f t="shared" si="12"/>
        <v>-20.059999999999945</v>
      </c>
      <c r="BN25" s="6">
        <f t="shared" si="13"/>
        <v>-1.7799999999992906</v>
      </c>
      <c r="BO25" s="12">
        <f t="shared" si="14"/>
        <v>5.999999999994543E-2</v>
      </c>
      <c r="BP25" s="10"/>
      <c r="BQ25" s="35"/>
      <c r="BR25" s="8"/>
      <c r="BS25" s="15">
        <f t="shared" si="15"/>
        <v>119</v>
      </c>
      <c r="BT25" s="15">
        <f t="shared" si="16"/>
        <v>320</v>
      </c>
      <c r="BU25" s="2">
        <v>-1198.22</v>
      </c>
      <c r="BV25" s="12">
        <f t="shared" si="17"/>
        <v>322.36999999999989</v>
      </c>
      <c r="BW25" s="12">
        <f t="shared" si="18"/>
        <v>1197.6300000000001</v>
      </c>
      <c r="BX25" s="12">
        <f t="shared" si="19"/>
        <v>-1200</v>
      </c>
      <c r="BY25" s="27">
        <f t="shared" si="20"/>
        <v>-2.3699999999998909</v>
      </c>
      <c r="BZ25" s="30">
        <f t="shared" si="21"/>
        <v>120</v>
      </c>
      <c r="CA25" s="30">
        <v>0</v>
      </c>
      <c r="CB25">
        <v>-0.59499999999999997</v>
      </c>
      <c r="CC25" s="40">
        <f t="shared" si="22"/>
        <v>1197.625</v>
      </c>
      <c r="CD25" s="40">
        <f t="shared" si="23"/>
        <v>-2.375</v>
      </c>
      <c r="CE25" s="40">
        <f t="shared" si="24"/>
        <v>1200</v>
      </c>
      <c r="CF25" s="6"/>
      <c r="CG25" s="20">
        <f t="shared" si="43"/>
        <v>8.9999999999918145E-2</v>
      </c>
      <c r="CH25" s="10"/>
      <c r="CI25" s="15">
        <f t="shared" si="25"/>
        <v>119</v>
      </c>
      <c r="CJ25" s="15">
        <f t="shared" si="26"/>
        <v>320</v>
      </c>
      <c r="CK25" s="2">
        <v>-1198.31</v>
      </c>
      <c r="CL25" s="12">
        <f t="shared" si="27"/>
        <v>322.34000000000015</v>
      </c>
      <c r="CM25" s="12">
        <f t="shared" si="28"/>
        <v>1197.6599999999999</v>
      </c>
      <c r="CN25" s="12">
        <f t="shared" si="29"/>
        <v>-1200</v>
      </c>
      <c r="CO25" s="27">
        <f t="shared" si="30"/>
        <v>-2.3400000000001455</v>
      </c>
      <c r="CP25" s="30">
        <f t="shared" si="31"/>
        <v>120</v>
      </c>
      <c r="CQ25" s="30">
        <v>0</v>
      </c>
      <c r="CR25">
        <v>-0.65500000000000003</v>
      </c>
      <c r="CS25" s="40">
        <f t="shared" si="32"/>
        <v>1197.655</v>
      </c>
      <c r="CT25" s="40">
        <f t="shared" si="33"/>
        <v>-2.3450000000000273</v>
      </c>
      <c r="CU25" s="40">
        <f t="shared" si="34"/>
        <v>1200</v>
      </c>
      <c r="DB25" s="2"/>
      <c r="DC25" s="2"/>
      <c r="DD25" s="2"/>
      <c r="DE25" s="6"/>
      <c r="DF25" s="12"/>
      <c r="DG25" s="10"/>
    </row>
    <row r="26" spans="2:111" x14ac:dyDescent="0.45">
      <c r="B26">
        <f t="shared" si="44"/>
        <v>18</v>
      </c>
      <c r="C26">
        <v>20</v>
      </c>
      <c r="D26">
        <f t="shared" si="45"/>
        <v>360</v>
      </c>
      <c r="E26" s="2">
        <v>360.26499999999999</v>
      </c>
      <c r="F26" s="23">
        <f t="shared" si="46"/>
        <v>20.069999999999993</v>
      </c>
      <c r="G26" s="6">
        <f t="shared" si="35"/>
        <v>0.26499999999998636</v>
      </c>
      <c r="H26" s="12">
        <f t="shared" si="47"/>
        <v>6.9999999999993179E-2</v>
      </c>
      <c r="J26" s="20">
        <f t="shared" si="0"/>
        <v>4.9999999999954525E-3</v>
      </c>
      <c r="K26" s="2"/>
      <c r="L26">
        <f t="shared" ref="L26" si="76">L25+1</f>
        <v>18</v>
      </c>
      <c r="M26">
        <v>20</v>
      </c>
      <c r="N26">
        <f t="shared" si="49"/>
        <v>360</v>
      </c>
      <c r="O26" s="2">
        <v>360.07</v>
      </c>
      <c r="P26" s="23">
        <f t="shared" si="50"/>
        <v>20.074999999999989</v>
      </c>
      <c r="Q26" s="6">
        <f t="shared" si="36"/>
        <v>6.9999999999993179E-2</v>
      </c>
      <c r="R26" s="27">
        <f t="shared" si="51"/>
        <v>7.4999999999988631E-2</v>
      </c>
      <c r="S26" s="2"/>
      <c r="T26" s="35"/>
      <c r="U26" s="19"/>
      <c r="V26" s="15">
        <f t="shared" si="52"/>
        <v>35</v>
      </c>
      <c r="W26" s="15">
        <f t="shared" si="53"/>
        <v>360</v>
      </c>
      <c r="X26" s="19">
        <v>360.065</v>
      </c>
      <c r="Y26" s="12">
        <f t="shared" si="54"/>
        <v>359.58499999999998</v>
      </c>
      <c r="Z26" s="27">
        <f t="shared" si="55"/>
        <v>-0.41500000000002046</v>
      </c>
      <c r="AA26" s="30">
        <f t="shared" si="56"/>
        <v>36</v>
      </c>
      <c r="AB26" s="30">
        <v>0</v>
      </c>
      <c r="AC26" s="19">
        <v>0.48</v>
      </c>
      <c r="AD26" s="28">
        <f t="shared" si="37"/>
        <v>359.58499999999998</v>
      </c>
      <c r="AE26" s="29">
        <f t="shared" si="38"/>
        <v>-0.41500000000002046</v>
      </c>
      <c r="AF26" s="19"/>
      <c r="AG26" s="20">
        <f t="shared" si="39"/>
        <v>0.16000000000002501</v>
      </c>
      <c r="AI26" s="15">
        <f t="shared" si="57"/>
        <v>35</v>
      </c>
      <c r="AJ26" s="15">
        <f t="shared" si="58"/>
        <v>360</v>
      </c>
      <c r="AK26" s="2">
        <v>360.22500000000002</v>
      </c>
      <c r="AL26" s="12">
        <f t="shared" si="59"/>
        <v>359.66500000000002</v>
      </c>
      <c r="AM26" s="27">
        <f t="shared" si="60"/>
        <v>-0.33499999999997954</v>
      </c>
      <c r="AN26" s="30">
        <f t="shared" si="61"/>
        <v>36</v>
      </c>
      <c r="AO26" s="30">
        <v>0</v>
      </c>
      <c r="AP26" s="19">
        <v>0.56999999999999995</v>
      </c>
      <c r="AQ26" s="28">
        <f t="shared" si="40"/>
        <v>359.65500000000003</v>
      </c>
      <c r="AR26" s="29">
        <f t="shared" si="41"/>
        <v>-0.34499999999997044</v>
      </c>
      <c r="AT26" s="36"/>
      <c r="AU26" s="36"/>
      <c r="AW26">
        <f t="shared" si="1"/>
        <v>59</v>
      </c>
      <c r="AX26">
        <f t="shared" si="2"/>
        <v>-20</v>
      </c>
      <c r="AY26">
        <f t="shared" si="3"/>
        <v>340</v>
      </c>
      <c r="AZ26" s="2">
        <v>-1178.2049999999999</v>
      </c>
      <c r="BA26" s="2">
        <f t="shared" si="4"/>
        <v>341.79499999999962</v>
      </c>
      <c r="BB26" s="23">
        <f t="shared" si="5"/>
        <v>-20.039999999999964</v>
      </c>
      <c r="BC26" s="6">
        <f t="shared" si="6"/>
        <v>-1.794999999999618</v>
      </c>
      <c r="BD26" s="12">
        <f t="shared" si="7"/>
        <v>3.999999999996362E-2</v>
      </c>
      <c r="BF26" s="20">
        <f t="shared" si="42"/>
        <v>-2.2737367544323206E-13</v>
      </c>
      <c r="BH26">
        <f t="shared" si="8"/>
        <v>59</v>
      </c>
      <c r="BI26">
        <f t="shared" si="9"/>
        <v>-20</v>
      </c>
      <c r="BJ26">
        <f t="shared" si="10"/>
        <v>340</v>
      </c>
      <c r="BK26" s="2">
        <v>-1178.1600000000001</v>
      </c>
      <c r="BL26" s="2">
        <f t="shared" si="11"/>
        <v>341.83999999999924</v>
      </c>
      <c r="BM26" s="23">
        <f t="shared" si="12"/>
        <v>-20.040000000000191</v>
      </c>
      <c r="BN26" s="6">
        <f t="shared" si="13"/>
        <v>-1.839999999999236</v>
      </c>
      <c r="BO26" s="12">
        <f t="shared" si="14"/>
        <v>4.0000000000190994E-2</v>
      </c>
      <c r="BP26" s="10"/>
      <c r="BQ26" s="35"/>
      <c r="BR26" s="8"/>
      <c r="BS26" s="15">
        <f t="shared" si="15"/>
        <v>117</v>
      </c>
      <c r="BT26" s="15">
        <f t="shared" si="16"/>
        <v>340</v>
      </c>
      <c r="BU26" s="2">
        <v>-1178.1600000000001</v>
      </c>
      <c r="BV26" s="12">
        <f t="shared" si="17"/>
        <v>342.43999999999983</v>
      </c>
      <c r="BW26" s="12">
        <f t="shared" si="18"/>
        <v>1177.5600000000002</v>
      </c>
      <c r="BX26" s="12">
        <f t="shared" si="19"/>
        <v>-1180</v>
      </c>
      <c r="BY26" s="27">
        <f t="shared" si="20"/>
        <v>-2.4399999999998272</v>
      </c>
      <c r="BZ26" s="30">
        <f t="shared" si="21"/>
        <v>118</v>
      </c>
      <c r="CA26" s="30">
        <v>0</v>
      </c>
      <c r="CB26">
        <v>-0.59</v>
      </c>
      <c r="CC26" s="40">
        <f t="shared" si="22"/>
        <v>1177.5700000000002</v>
      </c>
      <c r="CD26" s="40">
        <f t="shared" si="23"/>
        <v>-2.4299999999998363</v>
      </c>
      <c r="CE26" s="40">
        <f t="shared" si="24"/>
        <v>1180</v>
      </c>
      <c r="CF26" s="6"/>
      <c r="CG26" s="20">
        <f t="shared" si="43"/>
        <v>0.10999999999989996</v>
      </c>
      <c r="CH26" s="10"/>
      <c r="CI26" s="15">
        <f t="shared" si="25"/>
        <v>117</v>
      </c>
      <c r="CJ26" s="15">
        <f t="shared" si="26"/>
        <v>340</v>
      </c>
      <c r="CK26" s="2">
        <v>-1178.27</v>
      </c>
      <c r="CL26" s="12">
        <f t="shared" si="27"/>
        <v>342.3900000000001</v>
      </c>
      <c r="CM26" s="12">
        <f t="shared" si="28"/>
        <v>1177.6099999999999</v>
      </c>
      <c r="CN26" s="12">
        <f t="shared" si="29"/>
        <v>-1180</v>
      </c>
      <c r="CO26" s="27">
        <f t="shared" si="30"/>
        <v>-2.3900000000001</v>
      </c>
      <c r="CP26" s="30">
        <f t="shared" si="31"/>
        <v>118</v>
      </c>
      <c r="CQ26" s="30">
        <v>0</v>
      </c>
      <c r="CR26">
        <v>-0.65</v>
      </c>
      <c r="CS26" s="40">
        <f t="shared" si="32"/>
        <v>1177.6199999999999</v>
      </c>
      <c r="CT26" s="40">
        <f t="shared" si="33"/>
        <v>-2.3800000000001091</v>
      </c>
      <c r="CU26" s="40">
        <f t="shared" si="34"/>
        <v>1180</v>
      </c>
      <c r="DB26" s="2"/>
      <c r="DC26" s="2"/>
      <c r="DD26" s="2"/>
      <c r="DE26" s="6"/>
      <c r="DF26" s="12"/>
      <c r="DG26" s="10"/>
    </row>
    <row r="27" spans="2:111" x14ac:dyDescent="0.45">
      <c r="B27">
        <f t="shared" si="44"/>
        <v>19</v>
      </c>
      <c r="C27">
        <v>20</v>
      </c>
      <c r="D27">
        <f t="shared" si="45"/>
        <v>380</v>
      </c>
      <c r="E27" s="2">
        <v>380.32499999999999</v>
      </c>
      <c r="F27" s="23">
        <f t="shared" si="46"/>
        <v>20.060000000000002</v>
      </c>
      <c r="G27" s="6">
        <f t="shared" si="35"/>
        <v>0.32499999999998863</v>
      </c>
      <c r="H27" s="12">
        <f t="shared" si="47"/>
        <v>6.0000000000002274E-2</v>
      </c>
      <c r="J27" s="20">
        <f t="shared" si="0"/>
        <v>0</v>
      </c>
      <c r="K27" s="2"/>
      <c r="L27">
        <f t="shared" ref="L27" si="77">L26+1</f>
        <v>19</v>
      </c>
      <c r="M27">
        <v>20</v>
      </c>
      <c r="N27">
        <f t="shared" si="49"/>
        <v>380</v>
      </c>
      <c r="O27" s="2">
        <v>380.13</v>
      </c>
      <c r="P27" s="23">
        <f t="shared" si="50"/>
        <v>20.060000000000002</v>
      </c>
      <c r="Q27" s="6">
        <f t="shared" si="36"/>
        <v>0.12999999999999545</v>
      </c>
      <c r="R27" s="27">
        <f t="shared" si="51"/>
        <v>6.0000000000002274E-2</v>
      </c>
      <c r="S27" s="2"/>
      <c r="T27" s="35"/>
      <c r="U27" s="19"/>
      <c r="V27" s="15">
        <f t="shared" si="52"/>
        <v>37</v>
      </c>
      <c r="W27" s="15">
        <f t="shared" si="53"/>
        <v>380</v>
      </c>
      <c r="X27" s="19">
        <v>380.13499999999999</v>
      </c>
      <c r="Y27" s="12">
        <f t="shared" si="54"/>
        <v>379.65499999999997</v>
      </c>
      <c r="Z27" s="27">
        <f t="shared" si="55"/>
        <v>-0.34500000000002728</v>
      </c>
      <c r="AA27" s="30">
        <f t="shared" si="56"/>
        <v>38</v>
      </c>
      <c r="AB27" s="30">
        <v>0</v>
      </c>
      <c r="AC27" s="19">
        <v>0.47499999999999998</v>
      </c>
      <c r="AD27" s="28">
        <f t="shared" si="37"/>
        <v>379.65999999999997</v>
      </c>
      <c r="AE27" s="29">
        <f t="shared" si="38"/>
        <v>-0.34000000000003183</v>
      </c>
      <c r="AF27" s="19"/>
      <c r="AG27" s="20">
        <f t="shared" si="39"/>
        <v>0.19999999999998863</v>
      </c>
      <c r="AI27" s="15">
        <f t="shared" si="57"/>
        <v>37</v>
      </c>
      <c r="AJ27" s="15">
        <f t="shared" si="58"/>
        <v>380</v>
      </c>
      <c r="AK27" s="2">
        <v>380.33499999999998</v>
      </c>
      <c r="AL27" s="12">
        <f t="shared" si="59"/>
        <v>379.76499999999999</v>
      </c>
      <c r="AM27" s="27">
        <f t="shared" si="60"/>
        <v>-0.23500000000001364</v>
      </c>
      <c r="AN27" s="30">
        <f t="shared" si="61"/>
        <v>38</v>
      </c>
      <c r="AO27" s="30">
        <v>0</v>
      </c>
      <c r="AP27" s="19">
        <v>0.56999999999999995</v>
      </c>
      <c r="AQ27" s="28">
        <f t="shared" si="40"/>
        <v>379.76499999999999</v>
      </c>
      <c r="AR27" s="29">
        <f t="shared" si="41"/>
        <v>-0.23500000000001364</v>
      </c>
      <c r="AT27" s="36"/>
      <c r="AU27" s="36"/>
      <c r="AW27">
        <f t="shared" si="1"/>
        <v>58</v>
      </c>
      <c r="AX27">
        <f t="shared" si="2"/>
        <v>-20</v>
      </c>
      <c r="AY27">
        <f t="shared" si="3"/>
        <v>360</v>
      </c>
      <c r="AZ27" s="2">
        <v>-1158.165</v>
      </c>
      <c r="BA27" s="2">
        <f t="shared" si="4"/>
        <v>361.83499999999958</v>
      </c>
      <c r="BB27" s="23">
        <f t="shared" si="5"/>
        <v>-20.034999999999854</v>
      </c>
      <c r="BC27" s="6">
        <f t="shared" si="6"/>
        <v>-1.8349999999995816</v>
      </c>
      <c r="BD27" s="12">
        <f t="shared" si="7"/>
        <v>3.4999999999854481E-2</v>
      </c>
      <c r="BF27" s="20">
        <f t="shared" si="42"/>
        <v>4.500000000007276E-2</v>
      </c>
      <c r="BH27">
        <f t="shared" si="8"/>
        <v>58</v>
      </c>
      <c r="BI27">
        <f t="shared" si="9"/>
        <v>-20</v>
      </c>
      <c r="BJ27">
        <f t="shared" si="10"/>
        <v>360</v>
      </c>
      <c r="BK27" s="2">
        <v>-1158.1199999999999</v>
      </c>
      <c r="BL27" s="2">
        <f t="shared" si="11"/>
        <v>361.87999999999943</v>
      </c>
      <c r="BM27" s="23">
        <f t="shared" si="12"/>
        <v>-19.989999999999782</v>
      </c>
      <c r="BN27" s="6">
        <f t="shared" si="13"/>
        <v>-1.879999999999427</v>
      </c>
      <c r="BO27" s="12">
        <f t="shared" si="14"/>
        <v>-1.0000000000218279E-2</v>
      </c>
      <c r="BP27" s="10"/>
      <c r="BQ27" s="35"/>
      <c r="BR27" s="8"/>
      <c r="BS27" s="15">
        <f t="shared" si="15"/>
        <v>115</v>
      </c>
      <c r="BT27" s="15">
        <f t="shared" si="16"/>
        <v>360</v>
      </c>
      <c r="BU27" s="2">
        <v>-1158.1199999999999</v>
      </c>
      <c r="BV27" s="12">
        <f t="shared" si="17"/>
        <v>362.47</v>
      </c>
      <c r="BW27" s="12">
        <f t="shared" si="18"/>
        <v>1157.53</v>
      </c>
      <c r="BX27" s="12">
        <f t="shared" si="19"/>
        <v>-1160</v>
      </c>
      <c r="BY27" s="27">
        <f t="shared" si="20"/>
        <v>-2.4700000000000273</v>
      </c>
      <c r="BZ27" s="30">
        <f t="shared" si="21"/>
        <v>116</v>
      </c>
      <c r="CA27" s="30">
        <v>0</v>
      </c>
      <c r="CB27">
        <v>-0.6</v>
      </c>
      <c r="CC27" s="40">
        <f t="shared" si="22"/>
        <v>1157.52</v>
      </c>
      <c r="CD27" s="40">
        <f t="shared" si="23"/>
        <v>-2.4800000000000182</v>
      </c>
      <c r="CE27" s="40">
        <f t="shared" si="24"/>
        <v>1160</v>
      </c>
      <c r="CF27" s="6"/>
      <c r="CG27" s="20">
        <f t="shared" si="43"/>
        <v>8.500000000003638E-2</v>
      </c>
      <c r="CH27" s="10"/>
      <c r="CI27" s="15">
        <f t="shared" si="25"/>
        <v>115</v>
      </c>
      <c r="CJ27" s="15">
        <f t="shared" si="26"/>
        <v>360</v>
      </c>
      <c r="CK27" s="2">
        <v>-1158.2049999999999</v>
      </c>
      <c r="CL27" s="12">
        <f t="shared" si="27"/>
        <v>362.45000000000005</v>
      </c>
      <c r="CM27" s="12">
        <f t="shared" si="28"/>
        <v>1157.55</v>
      </c>
      <c r="CN27" s="12">
        <f t="shared" si="29"/>
        <v>-1160</v>
      </c>
      <c r="CO27" s="27">
        <f t="shared" si="30"/>
        <v>-2.4500000000000455</v>
      </c>
      <c r="CP27" s="30">
        <f t="shared" si="31"/>
        <v>116</v>
      </c>
      <c r="CQ27" s="30">
        <v>0</v>
      </c>
      <c r="CR27">
        <v>-0.66</v>
      </c>
      <c r="CS27" s="40">
        <f t="shared" si="32"/>
        <v>1157.5449999999998</v>
      </c>
      <c r="CT27" s="40">
        <f t="shared" si="33"/>
        <v>-2.4550000000001546</v>
      </c>
      <c r="CU27" s="40">
        <f t="shared" si="34"/>
        <v>1160</v>
      </c>
      <c r="DB27" s="2"/>
      <c r="DC27" s="2"/>
      <c r="DD27" s="2"/>
      <c r="DE27" s="6"/>
      <c r="DF27" s="12"/>
      <c r="DG27" s="10"/>
    </row>
    <row r="28" spans="2:111" x14ac:dyDescent="0.45">
      <c r="B28">
        <f t="shared" si="44"/>
        <v>20</v>
      </c>
      <c r="C28">
        <v>20</v>
      </c>
      <c r="D28">
        <f t="shared" si="45"/>
        <v>400</v>
      </c>
      <c r="E28" s="2">
        <v>400.4</v>
      </c>
      <c r="F28" s="23">
        <f t="shared" si="46"/>
        <v>20.074999999999989</v>
      </c>
      <c r="G28" s="6">
        <f t="shared" si="35"/>
        <v>0.39999999999997726</v>
      </c>
      <c r="H28" s="12">
        <f t="shared" si="47"/>
        <v>7.4999999999988631E-2</v>
      </c>
      <c r="J28" s="20">
        <f t="shared" si="0"/>
        <v>0</v>
      </c>
      <c r="K28" s="2"/>
      <c r="L28">
        <f t="shared" ref="L28" si="78">L27+1</f>
        <v>20</v>
      </c>
      <c r="M28">
        <v>20</v>
      </c>
      <c r="N28">
        <f t="shared" si="49"/>
        <v>400</v>
      </c>
      <c r="O28" s="2">
        <v>400.20499999999998</v>
      </c>
      <c r="P28" s="23">
        <f t="shared" si="50"/>
        <v>20.074999999999989</v>
      </c>
      <c r="Q28" s="6">
        <f t="shared" si="36"/>
        <v>0.20499999999998408</v>
      </c>
      <c r="R28" s="27">
        <f t="shared" si="51"/>
        <v>7.4999999999988631E-2</v>
      </c>
      <c r="S28" s="2"/>
      <c r="T28" s="35"/>
      <c r="U28" s="19"/>
      <c r="V28" s="15">
        <f t="shared" si="52"/>
        <v>39</v>
      </c>
      <c r="W28" s="15">
        <f t="shared" si="53"/>
        <v>400</v>
      </c>
      <c r="X28" s="19">
        <v>400.3</v>
      </c>
      <c r="Y28" s="12">
        <f t="shared" si="54"/>
        <v>399.82499999999999</v>
      </c>
      <c r="Z28" s="27">
        <f t="shared" si="55"/>
        <v>-0.17500000000001137</v>
      </c>
      <c r="AA28" s="30">
        <f t="shared" si="56"/>
        <v>40</v>
      </c>
      <c r="AB28" s="30">
        <v>0</v>
      </c>
      <c r="AC28" s="19">
        <v>0.47</v>
      </c>
      <c r="AD28" s="28">
        <f t="shared" si="37"/>
        <v>399.83</v>
      </c>
      <c r="AE28" s="29">
        <f t="shared" si="38"/>
        <v>-0.17000000000001592</v>
      </c>
      <c r="AF28" s="19"/>
      <c r="AG28" s="20">
        <f t="shared" si="39"/>
        <v>0.17000000000001592</v>
      </c>
      <c r="AI28" s="15">
        <f t="shared" si="57"/>
        <v>39</v>
      </c>
      <c r="AJ28" s="15">
        <f t="shared" si="58"/>
        <v>400</v>
      </c>
      <c r="AK28" s="2">
        <v>400.47</v>
      </c>
      <c r="AL28" s="12">
        <f t="shared" si="59"/>
        <v>399.90000000000003</v>
      </c>
      <c r="AM28" s="27">
        <f t="shared" si="60"/>
        <v>-9.9999999999965894E-2</v>
      </c>
      <c r="AN28" s="30">
        <f t="shared" si="61"/>
        <v>40</v>
      </c>
      <c r="AO28" s="30">
        <v>0</v>
      </c>
      <c r="AP28" s="19">
        <v>0.56000000000000005</v>
      </c>
      <c r="AQ28" s="28">
        <f t="shared" si="40"/>
        <v>399.91</v>
      </c>
      <c r="AR28" s="29">
        <f t="shared" si="41"/>
        <v>-8.9999999999974989E-2</v>
      </c>
      <c r="AT28" s="36"/>
      <c r="AU28" s="36"/>
      <c r="AW28">
        <f t="shared" si="1"/>
        <v>57</v>
      </c>
      <c r="AX28">
        <f t="shared" si="2"/>
        <v>-20</v>
      </c>
      <c r="AY28">
        <f t="shared" si="3"/>
        <v>380</v>
      </c>
      <c r="AZ28" s="2">
        <v>-1138.1300000000001</v>
      </c>
      <c r="BA28" s="2">
        <f t="shared" si="4"/>
        <v>381.86999999999944</v>
      </c>
      <c r="BB28" s="23">
        <f t="shared" si="5"/>
        <v>-20.035000000000082</v>
      </c>
      <c r="BC28" s="6">
        <f t="shared" si="6"/>
        <v>-1.8699999999994361</v>
      </c>
      <c r="BD28" s="12">
        <f t="shared" si="7"/>
        <v>3.5000000000081855E-2</v>
      </c>
      <c r="BF28" s="20">
        <f t="shared" si="42"/>
        <v>3.5000000000081855E-2</v>
      </c>
      <c r="BH28">
        <f t="shared" si="8"/>
        <v>57</v>
      </c>
      <c r="BI28">
        <f t="shared" si="9"/>
        <v>-20</v>
      </c>
      <c r="BJ28">
        <f t="shared" si="10"/>
        <v>380</v>
      </c>
      <c r="BK28" s="2">
        <v>-1138.1300000000001</v>
      </c>
      <c r="BL28" s="2">
        <f t="shared" si="11"/>
        <v>381.86999999999921</v>
      </c>
      <c r="BM28" s="23">
        <f t="shared" si="12"/>
        <v>-20</v>
      </c>
      <c r="BN28" s="6">
        <f t="shared" si="13"/>
        <v>-1.8699999999992087</v>
      </c>
      <c r="BO28" s="12">
        <f t="shared" si="14"/>
        <v>0</v>
      </c>
      <c r="BP28" s="10"/>
      <c r="BQ28" s="35"/>
      <c r="BR28" s="8"/>
      <c r="BS28" s="15">
        <f t="shared" si="15"/>
        <v>113</v>
      </c>
      <c r="BT28" s="15">
        <f t="shared" si="16"/>
        <v>380</v>
      </c>
      <c r="BU28" s="2">
        <v>-1138.1300000000001</v>
      </c>
      <c r="BV28" s="12">
        <f t="shared" si="17"/>
        <v>382.4699999999998</v>
      </c>
      <c r="BW28" s="12">
        <f t="shared" si="18"/>
        <v>1137.5300000000002</v>
      </c>
      <c r="BX28" s="12">
        <f t="shared" si="19"/>
        <v>-1140</v>
      </c>
      <c r="BY28" s="27">
        <f t="shared" si="20"/>
        <v>-2.4699999999997999</v>
      </c>
      <c r="BZ28" s="30">
        <f t="shared" si="21"/>
        <v>114</v>
      </c>
      <c r="CA28" s="30">
        <v>0</v>
      </c>
      <c r="CB28">
        <v>-0.59</v>
      </c>
      <c r="CC28" s="40">
        <f t="shared" si="22"/>
        <v>1137.5400000000002</v>
      </c>
      <c r="CD28" s="40">
        <f t="shared" si="23"/>
        <v>-2.459999999999809</v>
      </c>
      <c r="CE28" s="40">
        <f t="shared" si="24"/>
        <v>1140</v>
      </c>
      <c r="CF28" s="6"/>
      <c r="CG28" s="20">
        <f t="shared" si="43"/>
        <v>7.999999999992724E-2</v>
      </c>
      <c r="CH28" s="10"/>
      <c r="CI28" s="15">
        <f t="shared" si="25"/>
        <v>113</v>
      </c>
      <c r="CJ28" s="15">
        <f t="shared" si="26"/>
        <v>380</v>
      </c>
      <c r="CK28" s="2">
        <v>-1138.21</v>
      </c>
      <c r="CL28" s="12">
        <f t="shared" si="27"/>
        <v>382.44000000000005</v>
      </c>
      <c r="CM28" s="12">
        <f t="shared" si="28"/>
        <v>1137.56</v>
      </c>
      <c r="CN28" s="12">
        <f t="shared" si="29"/>
        <v>-1140</v>
      </c>
      <c r="CO28" s="27">
        <f t="shared" si="30"/>
        <v>-2.4400000000000546</v>
      </c>
      <c r="CP28" s="30">
        <f t="shared" si="31"/>
        <v>114</v>
      </c>
      <c r="CQ28" s="30">
        <v>0</v>
      </c>
      <c r="CR28">
        <v>-0.65500000000000003</v>
      </c>
      <c r="CS28" s="40">
        <f t="shared" si="32"/>
        <v>1137.5550000000001</v>
      </c>
      <c r="CT28" s="40">
        <f t="shared" si="33"/>
        <v>-2.4449999999999363</v>
      </c>
      <c r="CU28" s="40">
        <f t="shared" si="34"/>
        <v>1140</v>
      </c>
      <c r="DB28" s="2"/>
      <c r="DC28" s="2"/>
      <c r="DD28" s="2"/>
      <c r="DE28" s="6"/>
      <c r="DF28" s="12"/>
      <c r="DG28" s="10"/>
    </row>
    <row r="29" spans="2:111" x14ac:dyDescent="0.45">
      <c r="B29">
        <f t="shared" si="44"/>
        <v>21</v>
      </c>
      <c r="C29">
        <v>20</v>
      </c>
      <c r="D29">
        <f t="shared" si="45"/>
        <v>420</v>
      </c>
      <c r="E29" s="2">
        <v>420.43</v>
      </c>
      <c r="F29" s="23">
        <f t="shared" si="46"/>
        <v>20.03000000000003</v>
      </c>
      <c r="G29" s="6">
        <f t="shared" si="35"/>
        <v>0.43000000000000682</v>
      </c>
      <c r="H29" s="12">
        <f t="shared" si="47"/>
        <v>3.0000000000029559E-2</v>
      </c>
      <c r="J29" s="20">
        <f t="shared" si="0"/>
        <v>4.9999999999954525E-3</v>
      </c>
      <c r="K29" s="2"/>
      <c r="L29">
        <f t="shared" ref="L29" si="79">L28+1</f>
        <v>21</v>
      </c>
      <c r="M29">
        <v>20</v>
      </c>
      <c r="N29">
        <f t="shared" si="49"/>
        <v>420</v>
      </c>
      <c r="O29" s="2">
        <v>420.24</v>
      </c>
      <c r="P29" s="23">
        <f t="shared" si="50"/>
        <v>20.035000000000025</v>
      </c>
      <c r="Q29" s="6">
        <f t="shared" si="36"/>
        <v>0.24000000000000909</v>
      </c>
      <c r="R29" s="27">
        <f t="shared" si="51"/>
        <v>3.5000000000025011E-2</v>
      </c>
      <c r="S29" s="2"/>
      <c r="T29" s="35"/>
      <c r="U29" s="19"/>
      <c r="V29" s="15">
        <f t="shared" si="52"/>
        <v>41</v>
      </c>
      <c r="W29" s="15">
        <f t="shared" si="53"/>
        <v>420</v>
      </c>
      <c r="X29" s="19">
        <v>420.24</v>
      </c>
      <c r="Y29" s="12">
        <f t="shared" si="54"/>
        <v>419.77</v>
      </c>
      <c r="Z29" s="27">
        <f t="shared" si="55"/>
        <v>-0.23000000000001819</v>
      </c>
      <c r="AA29" s="30">
        <f t="shared" si="56"/>
        <v>42</v>
      </c>
      <c r="AB29" s="30">
        <v>0</v>
      </c>
      <c r="AC29" s="19">
        <v>0.46</v>
      </c>
      <c r="AD29" s="28">
        <f t="shared" si="37"/>
        <v>419.78000000000003</v>
      </c>
      <c r="AE29" s="29">
        <f t="shared" si="38"/>
        <v>-0.21999999999997044</v>
      </c>
      <c r="AF29" s="19"/>
      <c r="AG29" s="20">
        <f t="shared" si="39"/>
        <v>0.21499999999997499</v>
      </c>
      <c r="AI29" s="15">
        <f t="shared" si="57"/>
        <v>41</v>
      </c>
      <c r="AJ29" s="15">
        <f t="shared" si="58"/>
        <v>420</v>
      </c>
      <c r="AK29" s="2">
        <v>420.45499999999998</v>
      </c>
      <c r="AL29" s="12">
        <f t="shared" si="59"/>
        <v>419.89499999999998</v>
      </c>
      <c r="AM29" s="27">
        <f t="shared" si="60"/>
        <v>-0.10500000000001819</v>
      </c>
      <c r="AN29" s="30">
        <f t="shared" si="61"/>
        <v>42</v>
      </c>
      <c r="AO29" s="30">
        <v>0</v>
      </c>
      <c r="AP29" s="19">
        <v>0.56000000000000005</v>
      </c>
      <c r="AQ29" s="28">
        <f t="shared" si="40"/>
        <v>419.89499999999998</v>
      </c>
      <c r="AR29" s="29">
        <f t="shared" si="41"/>
        <v>-0.10500000000001819</v>
      </c>
      <c r="AT29" s="36"/>
      <c r="AU29" s="36"/>
      <c r="AW29">
        <f t="shared" si="1"/>
        <v>56</v>
      </c>
      <c r="AX29">
        <f t="shared" si="2"/>
        <v>-20</v>
      </c>
      <c r="AY29">
        <f t="shared" si="3"/>
        <v>400</v>
      </c>
      <c r="AZ29" s="2">
        <v>-1118.095</v>
      </c>
      <c r="BA29" s="2">
        <f t="shared" si="4"/>
        <v>401.90499999999952</v>
      </c>
      <c r="BB29" s="23">
        <f t="shared" si="5"/>
        <v>-20.089999999999918</v>
      </c>
      <c r="BC29" s="6">
        <f t="shared" si="6"/>
        <v>-1.904999999999518</v>
      </c>
      <c r="BD29" s="12">
        <f t="shared" si="7"/>
        <v>8.9999999999918145E-2</v>
      </c>
      <c r="BF29" s="20">
        <f t="shared" si="42"/>
        <v>2.9999999999745341E-2</v>
      </c>
      <c r="BH29">
        <f t="shared" si="8"/>
        <v>56</v>
      </c>
      <c r="BI29">
        <f t="shared" si="9"/>
        <v>-20</v>
      </c>
      <c r="BJ29">
        <f t="shared" si="10"/>
        <v>400</v>
      </c>
      <c r="BK29" s="2">
        <v>-1118.1300000000001</v>
      </c>
      <c r="BL29" s="2">
        <f t="shared" si="11"/>
        <v>401.86999999999921</v>
      </c>
      <c r="BM29" s="23">
        <f t="shared" si="12"/>
        <v>-20.060000000000173</v>
      </c>
      <c r="BN29" s="6">
        <f t="shared" si="13"/>
        <v>-1.8699999999992087</v>
      </c>
      <c r="BO29" s="12">
        <f t="shared" si="14"/>
        <v>6.0000000000172804E-2</v>
      </c>
      <c r="BP29" s="10"/>
      <c r="BQ29" s="35"/>
      <c r="BR29" s="8"/>
      <c r="BS29" s="15">
        <f t="shared" si="15"/>
        <v>111</v>
      </c>
      <c r="BT29" s="15">
        <f t="shared" si="16"/>
        <v>400</v>
      </c>
      <c r="BU29" s="2">
        <v>-1118.1300000000001</v>
      </c>
      <c r="BV29" s="12">
        <f t="shared" si="17"/>
        <v>402.47499999999991</v>
      </c>
      <c r="BW29" s="12">
        <f t="shared" si="18"/>
        <v>1117.5250000000001</v>
      </c>
      <c r="BX29" s="12">
        <f t="shared" si="19"/>
        <v>-1120</v>
      </c>
      <c r="BY29" s="27">
        <f t="shared" si="20"/>
        <v>-2.4749999999999091</v>
      </c>
      <c r="BZ29" s="30">
        <f t="shared" si="21"/>
        <v>112</v>
      </c>
      <c r="CA29" s="30">
        <v>0</v>
      </c>
      <c r="CB29">
        <v>-0.6</v>
      </c>
      <c r="CC29" s="40">
        <f t="shared" si="22"/>
        <v>1117.5300000000002</v>
      </c>
      <c r="CD29" s="40">
        <f t="shared" si="23"/>
        <v>-2.4699999999997999</v>
      </c>
      <c r="CE29" s="40">
        <f t="shared" si="24"/>
        <v>1120</v>
      </c>
      <c r="CF29" s="6"/>
      <c r="CG29" s="20">
        <f t="shared" si="43"/>
        <v>9.9999999999909051E-2</v>
      </c>
      <c r="CH29" s="10"/>
      <c r="CI29" s="15">
        <f t="shared" si="25"/>
        <v>111</v>
      </c>
      <c r="CJ29" s="15">
        <f t="shared" si="26"/>
        <v>400</v>
      </c>
      <c r="CK29" s="2">
        <v>-1118.23</v>
      </c>
      <c r="CL29" s="12">
        <f t="shared" si="27"/>
        <v>402.42499999999995</v>
      </c>
      <c r="CM29" s="12">
        <f t="shared" si="28"/>
        <v>1117.575</v>
      </c>
      <c r="CN29" s="12">
        <f t="shared" si="29"/>
        <v>-1120</v>
      </c>
      <c r="CO29" s="27">
        <f t="shared" si="30"/>
        <v>-2.4249999999999545</v>
      </c>
      <c r="CP29" s="30">
        <f t="shared" si="31"/>
        <v>112</v>
      </c>
      <c r="CQ29" s="30">
        <v>0</v>
      </c>
      <c r="CR29">
        <v>-0.65</v>
      </c>
      <c r="CS29" s="40">
        <f t="shared" si="32"/>
        <v>1117.58</v>
      </c>
      <c r="CT29" s="40">
        <f t="shared" si="33"/>
        <v>-2.4200000000000728</v>
      </c>
      <c r="CU29" s="40">
        <f t="shared" si="34"/>
        <v>1120</v>
      </c>
      <c r="DB29" s="2"/>
      <c r="DC29" s="2"/>
      <c r="DD29" s="2"/>
      <c r="DE29" s="6"/>
      <c r="DF29" s="12"/>
      <c r="DG29" s="10"/>
    </row>
    <row r="30" spans="2:111" x14ac:dyDescent="0.45">
      <c r="B30">
        <f t="shared" si="44"/>
        <v>22</v>
      </c>
      <c r="C30">
        <v>20</v>
      </c>
      <c r="D30">
        <f t="shared" si="45"/>
        <v>440</v>
      </c>
      <c r="E30" s="2">
        <v>440.41</v>
      </c>
      <c r="F30" s="23">
        <f t="shared" si="46"/>
        <v>19.980000000000018</v>
      </c>
      <c r="G30" s="6">
        <f t="shared" si="35"/>
        <v>0.41000000000002501</v>
      </c>
      <c r="H30" s="12">
        <f t="shared" si="47"/>
        <v>-1.999999999998181E-2</v>
      </c>
      <c r="J30" s="20">
        <f t="shared" si="0"/>
        <v>0</v>
      </c>
      <c r="K30" s="2"/>
      <c r="L30">
        <f t="shared" ref="L30" si="80">L29+1</f>
        <v>22</v>
      </c>
      <c r="M30">
        <v>20</v>
      </c>
      <c r="N30">
        <f t="shared" si="49"/>
        <v>440</v>
      </c>
      <c r="O30" s="2">
        <v>440.22</v>
      </c>
      <c r="P30" s="23">
        <f t="shared" si="50"/>
        <v>19.980000000000018</v>
      </c>
      <c r="Q30" s="6">
        <f t="shared" si="36"/>
        <v>0.22000000000002728</v>
      </c>
      <c r="R30" s="27">
        <f t="shared" si="51"/>
        <v>-1.999999999998181E-2</v>
      </c>
      <c r="S30" s="19"/>
      <c r="T30" s="35"/>
      <c r="U30" s="19"/>
      <c r="V30" s="15">
        <f t="shared" si="52"/>
        <v>43</v>
      </c>
      <c r="W30" s="15">
        <f t="shared" si="53"/>
        <v>440</v>
      </c>
      <c r="X30" s="19">
        <v>440.3</v>
      </c>
      <c r="Y30" s="12">
        <f t="shared" si="54"/>
        <v>439.84000000000003</v>
      </c>
      <c r="Z30" s="27">
        <f t="shared" si="55"/>
        <v>-0.15999999999996817</v>
      </c>
      <c r="AA30" s="30">
        <f t="shared" si="56"/>
        <v>44</v>
      </c>
      <c r="AB30" s="30">
        <v>0</v>
      </c>
      <c r="AC30" s="19">
        <v>0.45500000000000002</v>
      </c>
      <c r="AD30" s="28">
        <f t="shared" si="37"/>
        <v>439.84500000000003</v>
      </c>
      <c r="AE30" s="29">
        <f t="shared" si="38"/>
        <v>-0.15499999999997272</v>
      </c>
      <c r="AF30" s="19"/>
      <c r="AG30" s="20">
        <f t="shared" si="39"/>
        <v>0.18500000000000227</v>
      </c>
      <c r="AI30" s="15">
        <f t="shared" si="57"/>
        <v>43</v>
      </c>
      <c r="AJ30" s="15">
        <f t="shared" si="58"/>
        <v>440</v>
      </c>
      <c r="AK30" s="2">
        <v>440.48500000000001</v>
      </c>
      <c r="AL30" s="12">
        <f t="shared" si="59"/>
        <v>439.92500000000001</v>
      </c>
      <c r="AM30" s="27">
        <f t="shared" si="60"/>
        <v>-7.4999999999988631E-2</v>
      </c>
      <c r="AN30" s="30">
        <f t="shared" si="61"/>
        <v>44</v>
      </c>
      <c r="AO30" s="30">
        <v>0</v>
      </c>
      <c r="AP30" s="19">
        <v>0.55500000000000005</v>
      </c>
      <c r="AQ30" s="28">
        <f t="shared" si="40"/>
        <v>439.93</v>
      </c>
      <c r="AR30" s="29">
        <f t="shared" si="41"/>
        <v>-6.9999999999993179E-2</v>
      </c>
      <c r="AT30" s="36"/>
      <c r="AU30" s="36"/>
      <c r="AW30">
        <f t="shared" si="1"/>
        <v>55</v>
      </c>
      <c r="AX30">
        <f t="shared" si="2"/>
        <v>-20</v>
      </c>
      <c r="AY30">
        <f t="shared" si="3"/>
        <v>420</v>
      </c>
      <c r="AZ30" s="2">
        <v>-1098.0050000000001</v>
      </c>
      <c r="BA30" s="2">
        <f t="shared" si="4"/>
        <v>421.99499999999944</v>
      </c>
      <c r="BB30" s="23">
        <f t="shared" si="5"/>
        <v>-19.980000000000018</v>
      </c>
      <c r="BC30" s="6">
        <f t="shared" si="6"/>
        <v>-1.9949999999994361</v>
      </c>
      <c r="BD30" s="12">
        <f t="shared" si="7"/>
        <v>-1.999999999998181E-2</v>
      </c>
      <c r="BF30" s="20">
        <f t="shared" si="42"/>
        <v>-8.4999999999809006E-2</v>
      </c>
      <c r="BH30">
        <f t="shared" si="8"/>
        <v>55</v>
      </c>
      <c r="BI30">
        <f t="shared" si="9"/>
        <v>-20</v>
      </c>
      <c r="BJ30">
        <f t="shared" si="10"/>
        <v>420</v>
      </c>
      <c r="BK30" s="2">
        <v>-1098.07</v>
      </c>
      <c r="BL30" s="2">
        <f t="shared" si="11"/>
        <v>421.92999999999938</v>
      </c>
      <c r="BM30" s="23">
        <f t="shared" si="12"/>
        <v>-20.064999999999827</v>
      </c>
      <c r="BN30" s="6">
        <f t="shared" si="13"/>
        <v>-1.9299999999993815</v>
      </c>
      <c r="BO30" s="12">
        <f t="shared" si="14"/>
        <v>6.4999999999827196E-2</v>
      </c>
      <c r="BP30" s="10"/>
      <c r="BQ30" s="35"/>
      <c r="BR30" s="8"/>
      <c r="BS30" s="15">
        <f t="shared" si="15"/>
        <v>109</v>
      </c>
      <c r="BT30" s="15">
        <f t="shared" si="16"/>
        <v>420</v>
      </c>
      <c r="BU30" s="2">
        <v>-1098.07</v>
      </c>
      <c r="BV30" s="12">
        <f t="shared" si="17"/>
        <v>422.54999999999995</v>
      </c>
      <c r="BW30" s="12">
        <f t="shared" si="18"/>
        <v>1097.45</v>
      </c>
      <c r="BX30" s="12">
        <f t="shared" si="19"/>
        <v>-1100</v>
      </c>
      <c r="BY30" s="27">
        <f t="shared" si="20"/>
        <v>-2.5499999999999545</v>
      </c>
      <c r="BZ30" s="30">
        <f t="shared" si="21"/>
        <v>110</v>
      </c>
      <c r="CA30" s="30">
        <v>0</v>
      </c>
      <c r="CB30">
        <v>-0.60499999999999998</v>
      </c>
      <c r="CC30" s="40">
        <f t="shared" si="22"/>
        <v>1097.4649999999999</v>
      </c>
      <c r="CD30" s="40">
        <f t="shared" si="23"/>
        <v>-2.5350000000000819</v>
      </c>
      <c r="CE30" s="40">
        <f t="shared" si="24"/>
        <v>1100</v>
      </c>
      <c r="CF30" s="6"/>
      <c r="CG30" s="20">
        <f t="shared" si="43"/>
        <v>0.11000000000012733</v>
      </c>
      <c r="CH30" s="10"/>
      <c r="CI30" s="15">
        <f t="shared" si="25"/>
        <v>109</v>
      </c>
      <c r="CJ30" s="15">
        <f t="shared" si="26"/>
        <v>420</v>
      </c>
      <c r="CK30" s="2">
        <v>-1098.18</v>
      </c>
      <c r="CL30" s="12">
        <f t="shared" si="27"/>
        <v>422.51499999999987</v>
      </c>
      <c r="CM30" s="12">
        <f t="shared" si="28"/>
        <v>1097.4850000000001</v>
      </c>
      <c r="CN30" s="12">
        <f t="shared" si="29"/>
        <v>-1100</v>
      </c>
      <c r="CO30" s="27">
        <f t="shared" si="30"/>
        <v>-2.5149999999998727</v>
      </c>
      <c r="CP30" s="30">
        <f t="shared" si="31"/>
        <v>110</v>
      </c>
      <c r="CQ30" s="30">
        <v>0</v>
      </c>
      <c r="CR30">
        <v>-0.65500000000000003</v>
      </c>
      <c r="CS30" s="40">
        <f t="shared" si="32"/>
        <v>1097.5250000000001</v>
      </c>
      <c r="CT30" s="40">
        <f t="shared" si="33"/>
        <v>-2.4749999999999091</v>
      </c>
      <c r="CU30" s="40">
        <f t="shared" si="34"/>
        <v>1100</v>
      </c>
      <c r="DB30" s="2"/>
      <c r="DC30" s="2"/>
      <c r="DD30" s="2"/>
      <c r="DE30" s="6"/>
      <c r="DF30" s="12"/>
      <c r="DG30" s="10"/>
    </row>
    <row r="31" spans="2:111" x14ac:dyDescent="0.45">
      <c r="B31">
        <f t="shared" si="44"/>
        <v>23</v>
      </c>
      <c r="C31">
        <v>20</v>
      </c>
      <c r="D31">
        <f t="shared" si="45"/>
        <v>460</v>
      </c>
      <c r="E31" s="2">
        <v>460.34</v>
      </c>
      <c r="F31" s="23">
        <f t="shared" si="46"/>
        <v>19.92999999999995</v>
      </c>
      <c r="G31" s="6">
        <f t="shared" si="35"/>
        <v>0.33999999999997499</v>
      </c>
      <c r="H31" s="12">
        <f t="shared" si="47"/>
        <v>-7.0000000000050022E-2</v>
      </c>
      <c r="J31" s="20">
        <f t="shared" si="0"/>
        <v>0</v>
      </c>
      <c r="K31" s="2"/>
      <c r="L31">
        <f t="shared" ref="L31" si="81">L30+1</f>
        <v>23</v>
      </c>
      <c r="M31">
        <v>20</v>
      </c>
      <c r="N31">
        <f t="shared" si="49"/>
        <v>460</v>
      </c>
      <c r="O31" s="2">
        <v>460.15</v>
      </c>
      <c r="P31" s="23">
        <f t="shared" si="50"/>
        <v>19.92999999999995</v>
      </c>
      <c r="Q31" s="6">
        <f t="shared" si="36"/>
        <v>0.14999999999997726</v>
      </c>
      <c r="R31" s="27">
        <f t="shared" si="51"/>
        <v>-7.0000000000050022E-2</v>
      </c>
      <c r="S31" s="19"/>
      <c r="T31" s="35"/>
      <c r="U31" s="19"/>
      <c r="V31" s="15">
        <f t="shared" si="52"/>
        <v>45</v>
      </c>
      <c r="W31" s="15">
        <f t="shared" si="53"/>
        <v>460</v>
      </c>
      <c r="X31" s="19">
        <v>460.22500000000002</v>
      </c>
      <c r="Y31" s="12">
        <f t="shared" si="54"/>
        <v>459.77000000000004</v>
      </c>
      <c r="Z31" s="27">
        <f t="shared" si="55"/>
        <v>-0.22999999999996135</v>
      </c>
      <c r="AA31" s="30">
        <f t="shared" si="56"/>
        <v>46</v>
      </c>
      <c r="AB31" s="30">
        <v>0</v>
      </c>
      <c r="AC31" s="19">
        <v>0.46</v>
      </c>
      <c r="AD31" s="28">
        <f t="shared" si="37"/>
        <v>459.76500000000004</v>
      </c>
      <c r="AE31" s="29">
        <f t="shared" si="38"/>
        <v>-0.2349999999999568</v>
      </c>
      <c r="AF31" s="19"/>
      <c r="AG31" s="20">
        <f t="shared" si="39"/>
        <v>0.14499999999998181</v>
      </c>
      <c r="AI31" s="15">
        <f t="shared" si="57"/>
        <v>45</v>
      </c>
      <c r="AJ31" s="15">
        <f t="shared" si="58"/>
        <v>460</v>
      </c>
      <c r="AK31" s="2">
        <v>460.37</v>
      </c>
      <c r="AL31" s="12">
        <f t="shared" si="59"/>
        <v>459.815</v>
      </c>
      <c r="AM31" s="27">
        <f t="shared" si="60"/>
        <v>-0.18500000000000227</v>
      </c>
      <c r="AN31" s="30">
        <f t="shared" si="61"/>
        <v>46</v>
      </c>
      <c r="AO31" s="30">
        <v>0</v>
      </c>
      <c r="AP31" s="19">
        <v>0.56000000000000005</v>
      </c>
      <c r="AQ31" s="28">
        <f t="shared" si="40"/>
        <v>459.81</v>
      </c>
      <c r="AR31" s="29">
        <f t="shared" si="41"/>
        <v>-0.18999999999999773</v>
      </c>
      <c r="AT31" s="36"/>
      <c r="AU31" s="36"/>
      <c r="AW31">
        <f t="shared" si="1"/>
        <v>54</v>
      </c>
      <c r="AX31">
        <f t="shared" si="2"/>
        <v>-20</v>
      </c>
      <c r="AY31">
        <f t="shared" si="3"/>
        <v>440</v>
      </c>
      <c r="AZ31" s="2">
        <v>-1078.0250000000001</v>
      </c>
      <c r="BA31" s="2">
        <f t="shared" si="4"/>
        <v>441.97499999999945</v>
      </c>
      <c r="BB31" s="23">
        <f t="shared" si="5"/>
        <v>-19.900000000000091</v>
      </c>
      <c r="BC31" s="6">
        <f t="shared" si="6"/>
        <v>-1.9749999999994543</v>
      </c>
      <c r="BD31" s="12">
        <f t="shared" si="7"/>
        <v>-9.9999999999909051E-2</v>
      </c>
      <c r="BF31" s="20">
        <f t="shared" si="42"/>
        <v>-2.5000000000090949E-2</v>
      </c>
      <c r="BH31">
        <f t="shared" si="8"/>
        <v>54</v>
      </c>
      <c r="BI31">
        <f t="shared" si="9"/>
        <v>-20</v>
      </c>
      <c r="BJ31">
        <f t="shared" si="10"/>
        <v>440</v>
      </c>
      <c r="BK31" s="2">
        <v>-1078.0050000000001</v>
      </c>
      <c r="BL31" s="2">
        <f t="shared" si="11"/>
        <v>441.99499999999921</v>
      </c>
      <c r="BM31" s="23">
        <f t="shared" si="12"/>
        <v>-19.925000000000182</v>
      </c>
      <c r="BN31" s="6">
        <f t="shared" si="13"/>
        <v>-1.9949999999992087</v>
      </c>
      <c r="BO31" s="12">
        <f t="shared" si="14"/>
        <v>-7.4999999999818101E-2</v>
      </c>
      <c r="BP31" s="10"/>
      <c r="BQ31" s="35"/>
      <c r="BR31" s="8"/>
      <c r="BS31" s="15">
        <f t="shared" si="15"/>
        <v>107</v>
      </c>
      <c r="BT31" s="15">
        <f t="shared" si="16"/>
        <v>440</v>
      </c>
      <c r="BU31" s="2">
        <v>-1078.0050000000001</v>
      </c>
      <c r="BV31" s="12">
        <f t="shared" si="17"/>
        <v>442.54499999999985</v>
      </c>
      <c r="BW31" s="12">
        <f t="shared" si="18"/>
        <v>1077.4550000000002</v>
      </c>
      <c r="BX31" s="12">
        <f t="shared" si="19"/>
        <v>-1080</v>
      </c>
      <c r="BY31" s="27">
        <f t="shared" si="20"/>
        <v>-2.5449999999998454</v>
      </c>
      <c r="BZ31" s="30">
        <f t="shared" si="21"/>
        <v>108</v>
      </c>
      <c r="CA31" s="30">
        <v>0</v>
      </c>
      <c r="CB31">
        <v>-0.62</v>
      </c>
      <c r="CC31" s="40">
        <f t="shared" si="22"/>
        <v>1077.3850000000002</v>
      </c>
      <c r="CD31" s="40">
        <f t="shared" si="23"/>
        <v>-2.6149999999997817</v>
      </c>
      <c r="CE31" s="40">
        <f t="shared" si="24"/>
        <v>1080</v>
      </c>
      <c r="CF31" s="6"/>
      <c r="CG31" s="20">
        <f t="shared" si="43"/>
        <v>0.11499999999978172</v>
      </c>
      <c r="CH31" s="10"/>
      <c r="CI31" s="15">
        <f t="shared" si="25"/>
        <v>107</v>
      </c>
      <c r="CJ31" s="15">
        <f t="shared" si="26"/>
        <v>440</v>
      </c>
      <c r="CK31" s="2">
        <v>-1078.1199999999999</v>
      </c>
      <c r="CL31" s="12">
        <f t="shared" si="27"/>
        <v>442.45500000000015</v>
      </c>
      <c r="CM31" s="12">
        <f t="shared" si="28"/>
        <v>1077.5449999999998</v>
      </c>
      <c r="CN31" s="12">
        <f t="shared" si="29"/>
        <v>-1080</v>
      </c>
      <c r="CO31" s="27">
        <f t="shared" si="30"/>
        <v>-2.4550000000001546</v>
      </c>
      <c r="CP31" s="30">
        <f t="shared" si="31"/>
        <v>108</v>
      </c>
      <c r="CQ31" s="30">
        <v>0</v>
      </c>
      <c r="CR31">
        <v>-0.69499999999999995</v>
      </c>
      <c r="CS31" s="40">
        <f t="shared" si="32"/>
        <v>1077.425</v>
      </c>
      <c r="CT31" s="40">
        <f t="shared" si="33"/>
        <v>-2.5750000000000455</v>
      </c>
      <c r="CU31" s="40">
        <f t="shared" si="34"/>
        <v>1080</v>
      </c>
      <c r="DB31" s="2"/>
      <c r="DC31" s="2"/>
      <c r="DD31" s="2"/>
      <c r="DE31" s="6"/>
      <c r="DF31" s="12"/>
      <c r="DG31" s="10"/>
    </row>
    <row r="32" spans="2:111" x14ac:dyDescent="0.45">
      <c r="B32">
        <f t="shared" si="44"/>
        <v>24</v>
      </c>
      <c r="C32">
        <v>20</v>
      </c>
      <c r="D32">
        <f t="shared" si="45"/>
        <v>480</v>
      </c>
      <c r="E32" s="2">
        <v>480.30500000000001</v>
      </c>
      <c r="F32" s="23">
        <f t="shared" si="46"/>
        <v>19.965000000000032</v>
      </c>
      <c r="G32" s="6">
        <f t="shared" si="35"/>
        <v>0.30500000000000682</v>
      </c>
      <c r="H32" s="12">
        <f t="shared" si="47"/>
        <v>-3.4999999999968168E-2</v>
      </c>
      <c r="J32" s="20">
        <f t="shared" si="0"/>
        <v>4.9999999999954525E-3</v>
      </c>
      <c r="K32" s="2"/>
      <c r="L32">
        <f t="shared" ref="L32" si="82">L31+1</f>
        <v>24</v>
      </c>
      <c r="M32">
        <v>20</v>
      </c>
      <c r="N32">
        <f t="shared" si="49"/>
        <v>480</v>
      </c>
      <c r="O32" s="2">
        <v>480.12</v>
      </c>
      <c r="P32" s="23">
        <f t="shared" si="50"/>
        <v>19.970000000000027</v>
      </c>
      <c r="Q32" s="6">
        <f t="shared" si="36"/>
        <v>0.12000000000000455</v>
      </c>
      <c r="R32" s="27">
        <f t="shared" si="51"/>
        <v>-2.9999999999972715E-2</v>
      </c>
      <c r="S32" s="19"/>
      <c r="T32" s="35"/>
      <c r="U32" s="19"/>
      <c r="V32" s="15">
        <f t="shared" si="52"/>
        <v>47</v>
      </c>
      <c r="W32" s="15">
        <f t="shared" si="53"/>
        <v>480</v>
      </c>
      <c r="X32" s="19">
        <v>480.185</v>
      </c>
      <c r="Y32" s="12">
        <f t="shared" si="54"/>
        <v>479.72500000000002</v>
      </c>
      <c r="Z32" s="27">
        <f t="shared" si="55"/>
        <v>-0.27499999999997726</v>
      </c>
      <c r="AA32" s="30">
        <f t="shared" si="56"/>
        <v>48</v>
      </c>
      <c r="AB32" s="30">
        <v>0</v>
      </c>
      <c r="AC32" s="19">
        <v>0.44500000000000001</v>
      </c>
      <c r="AD32" s="28">
        <f t="shared" si="37"/>
        <v>479.74</v>
      </c>
      <c r="AE32" s="29">
        <f t="shared" si="38"/>
        <v>-0.25999999999999091</v>
      </c>
      <c r="AF32" s="19"/>
      <c r="AG32" s="20">
        <f t="shared" si="39"/>
        <v>0.14499999999998181</v>
      </c>
      <c r="AI32" s="15">
        <f t="shared" si="57"/>
        <v>47</v>
      </c>
      <c r="AJ32" s="15">
        <f t="shared" si="58"/>
        <v>480</v>
      </c>
      <c r="AK32" s="2">
        <v>480.33</v>
      </c>
      <c r="AL32" s="12">
        <f t="shared" si="59"/>
        <v>479.77</v>
      </c>
      <c r="AM32" s="27">
        <f t="shared" si="60"/>
        <v>-0.23000000000001819</v>
      </c>
      <c r="AN32" s="30">
        <f t="shared" si="61"/>
        <v>48</v>
      </c>
      <c r="AO32" s="30">
        <v>0</v>
      </c>
      <c r="AP32" s="19">
        <v>0.55500000000000005</v>
      </c>
      <c r="AQ32" s="28">
        <f t="shared" si="40"/>
        <v>479.77499999999998</v>
      </c>
      <c r="AR32" s="29">
        <f t="shared" si="41"/>
        <v>-0.22500000000002274</v>
      </c>
      <c r="AT32" s="36"/>
      <c r="AU32" s="36"/>
      <c r="AW32">
        <f t="shared" si="1"/>
        <v>53</v>
      </c>
      <c r="AX32">
        <f t="shared" si="2"/>
        <v>-20</v>
      </c>
      <c r="AY32">
        <f t="shared" si="3"/>
        <v>460</v>
      </c>
      <c r="AZ32" s="2">
        <v>-1058.125</v>
      </c>
      <c r="BA32" s="2">
        <f t="shared" si="4"/>
        <v>461.87499999999955</v>
      </c>
      <c r="BB32" s="23">
        <f t="shared" si="5"/>
        <v>-19.924999999999955</v>
      </c>
      <c r="BC32" s="6">
        <f t="shared" si="6"/>
        <v>-1.8749999999995453</v>
      </c>
      <c r="BD32" s="12">
        <f t="shared" si="7"/>
        <v>-7.5000000000045475E-2</v>
      </c>
      <c r="BF32" s="20">
        <f t="shared" si="42"/>
        <v>-2.9999999999972715E-2</v>
      </c>
      <c r="BH32">
        <f t="shared" si="8"/>
        <v>53</v>
      </c>
      <c r="BI32">
        <f t="shared" si="9"/>
        <v>-20</v>
      </c>
      <c r="BJ32">
        <f t="shared" si="10"/>
        <v>460</v>
      </c>
      <c r="BK32" s="2">
        <v>-1058.08</v>
      </c>
      <c r="BL32" s="2">
        <f t="shared" si="11"/>
        <v>461.91999999999939</v>
      </c>
      <c r="BM32" s="23">
        <f t="shared" si="12"/>
        <v>-19.954999999999927</v>
      </c>
      <c r="BN32" s="6">
        <f t="shared" si="13"/>
        <v>-1.9199999999993906</v>
      </c>
      <c r="BO32" s="12">
        <f t="shared" si="14"/>
        <v>-4.500000000007276E-2</v>
      </c>
      <c r="BP32" s="10"/>
      <c r="BQ32" s="35"/>
      <c r="BR32" s="8"/>
      <c r="BS32" s="15">
        <f t="shared" si="15"/>
        <v>105</v>
      </c>
      <c r="BT32" s="15">
        <f t="shared" si="16"/>
        <v>460</v>
      </c>
      <c r="BU32" s="2">
        <v>-1058.08</v>
      </c>
      <c r="BV32" s="12">
        <f t="shared" si="17"/>
        <v>462.42500000000018</v>
      </c>
      <c r="BW32" s="12">
        <f t="shared" si="18"/>
        <v>1057.5749999999998</v>
      </c>
      <c r="BX32" s="12">
        <f t="shared" si="19"/>
        <v>-1060</v>
      </c>
      <c r="BY32" s="27">
        <f t="shared" si="20"/>
        <v>-2.4250000000001819</v>
      </c>
      <c r="BZ32" s="30">
        <f t="shared" si="21"/>
        <v>106</v>
      </c>
      <c r="CA32" s="30">
        <v>0</v>
      </c>
      <c r="CB32">
        <v>-0.55000000000000004</v>
      </c>
      <c r="CC32" s="40">
        <f t="shared" si="22"/>
        <v>1057.53</v>
      </c>
      <c r="CD32" s="40">
        <f t="shared" si="23"/>
        <v>-2.4700000000000273</v>
      </c>
      <c r="CE32" s="40">
        <f t="shared" si="24"/>
        <v>1060</v>
      </c>
      <c r="CF32" s="6"/>
      <c r="CG32" s="20">
        <f t="shared" si="43"/>
        <v>0.125</v>
      </c>
      <c r="CH32" s="10"/>
      <c r="CI32" s="15">
        <f t="shared" si="25"/>
        <v>105</v>
      </c>
      <c r="CJ32" s="15">
        <f t="shared" si="26"/>
        <v>460</v>
      </c>
      <c r="CK32" s="2">
        <v>-1058.2049999999999</v>
      </c>
      <c r="CL32" s="12">
        <f t="shared" si="27"/>
        <v>462.34500000000003</v>
      </c>
      <c r="CM32" s="12">
        <f t="shared" si="28"/>
        <v>1057.655</v>
      </c>
      <c r="CN32" s="12">
        <f t="shared" si="29"/>
        <v>-1060</v>
      </c>
      <c r="CO32" s="27">
        <f t="shared" si="30"/>
        <v>-2.3450000000000273</v>
      </c>
      <c r="CP32" s="30">
        <f t="shared" si="31"/>
        <v>106</v>
      </c>
      <c r="CQ32" s="30">
        <v>0</v>
      </c>
      <c r="CR32">
        <v>-0.57499999999999996</v>
      </c>
      <c r="CS32" s="40">
        <f t="shared" si="32"/>
        <v>1057.6299999999999</v>
      </c>
      <c r="CT32" s="40">
        <f t="shared" si="33"/>
        <v>-2.3700000000001182</v>
      </c>
      <c r="CU32" s="40">
        <f t="shared" si="34"/>
        <v>1060</v>
      </c>
      <c r="DB32" s="2"/>
      <c r="DC32" s="2"/>
      <c r="DD32" s="2"/>
      <c r="DE32" s="6"/>
      <c r="DF32" s="12"/>
      <c r="DG32" s="10"/>
    </row>
    <row r="33" spans="2:111" x14ac:dyDescent="0.45">
      <c r="B33">
        <f t="shared" si="44"/>
        <v>25</v>
      </c>
      <c r="C33">
        <v>20</v>
      </c>
      <c r="D33">
        <f t="shared" si="45"/>
        <v>500</v>
      </c>
      <c r="E33" s="2">
        <v>500.255</v>
      </c>
      <c r="F33" s="23">
        <f t="shared" si="46"/>
        <v>19.949999999999989</v>
      </c>
      <c r="G33" s="6">
        <f t="shared" si="35"/>
        <v>0.25499999999999545</v>
      </c>
      <c r="H33" s="12">
        <f t="shared" si="47"/>
        <v>-5.0000000000011369E-2</v>
      </c>
      <c r="J33" s="20">
        <f t="shared" si="0"/>
        <v>0</v>
      </c>
      <c r="K33" s="2"/>
      <c r="L33">
        <f t="shared" ref="L33" si="83">L32+1</f>
        <v>25</v>
      </c>
      <c r="M33">
        <v>20</v>
      </c>
      <c r="N33">
        <f t="shared" si="49"/>
        <v>500</v>
      </c>
      <c r="O33" s="2">
        <v>500.07</v>
      </c>
      <c r="P33" s="23">
        <f t="shared" si="50"/>
        <v>19.949999999999989</v>
      </c>
      <c r="Q33" s="6">
        <f t="shared" si="36"/>
        <v>6.9999999999993179E-2</v>
      </c>
      <c r="R33" s="27">
        <f t="shared" si="51"/>
        <v>-5.0000000000011369E-2</v>
      </c>
      <c r="S33" s="19"/>
      <c r="T33" s="35"/>
      <c r="U33" s="19"/>
      <c r="V33" s="15">
        <f t="shared" si="52"/>
        <v>49</v>
      </c>
      <c r="W33" s="15">
        <f t="shared" si="53"/>
        <v>500</v>
      </c>
      <c r="X33" s="19">
        <v>500.065</v>
      </c>
      <c r="Y33" s="12">
        <f t="shared" si="54"/>
        <v>499.62</v>
      </c>
      <c r="Z33" s="27">
        <f t="shared" si="55"/>
        <v>-0.37999999999999545</v>
      </c>
      <c r="AA33" s="30">
        <f t="shared" si="56"/>
        <v>50</v>
      </c>
      <c r="AB33" s="30">
        <v>0</v>
      </c>
      <c r="AC33" s="19">
        <v>0.44</v>
      </c>
      <c r="AD33" s="28">
        <f t="shared" si="37"/>
        <v>499.625</v>
      </c>
      <c r="AE33" s="29">
        <f t="shared" si="38"/>
        <v>-0.375</v>
      </c>
      <c r="AF33" s="19"/>
      <c r="AG33" s="20">
        <f t="shared" si="39"/>
        <v>0.19499999999999318</v>
      </c>
      <c r="AI33" s="15">
        <f t="shared" si="57"/>
        <v>49</v>
      </c>
      <c r="AJ33" s="15">
        <f t="shared" si="58"/>
        <v>500</v>
      </c>
      <c r="AK33" s="2">
        <v>500.26</v>
      </c>
      <c r="AL33" s="12">
        <f t="shared" si="59"/>
        <v>499.70499999999998</v>
      </c>
      <c r="AM33" s="27">
        <f t="shared" si="60"/>
        <v>-0.29500000000001592</v>
      </c>
      <c r="AN33" s="30">
        <f t="shared" si="61"/>
        <v>50</v>
      </c>
      <c r="AO33" s="30">
        <v>0</v>
      </c>
      <c r="AP33" s="19">
        <v>0.55500000000000005</v>
      </c>
      <c r="AQ33" s="28">
        <f t="shared" si="40"/>
        <v>499.70499999999998</v>
      </c>
      <c r="AR33" s="29">
        <f t="shared" si="41"/>
        <v>-0.29500000000001592</v>
      </c>
      <c r="AT33" s="36"/>
      <c r="AU33" s="36"/>
      <c r="AW33">
        <f t="shared" si="1"/>
        <v>52</v>
      </c>
      <c r="AX33">
        <f t="shared" si="2"/>
        <v>-20</v>
      </c>
      <c r="AY33">
        <f t="shared" si="3"/>
        <v>480</v>
      </c>
      <c r="AZ33" s="2">
        <v>-1038.2</v>
      </c>
      <c r="BA33" s="2">
        <f t="shared" si="4"/>
        <v>481.7999999999995</v>
      </c>
      <c r="BB33" s="23">
        <f t="shared" si="5"/>
        <v>-19.965000000000032</v>
      </c>
      <c r="BC33" s="6">
        <f t="shared" si="6"/>
        <v>-1.7999999999994998</v>
      </c>
      <c r="BD33" s="12">
        <f t="shared" si="7"/>
        <v>-3.4999999999968168E-2</v>
      </c>
      <c r="BF33" s="20">
        <f t="shared" si="42"/>
        <v>3.0000000000086402E-2</v>
      </c>
      <c r="BH33">
        <f t="shared" si="8"/>
        <v>52</v>
      </c>
      <c r="BI33">
        <f t="shared" si="9"/>
        <v>-20</v>
      </c>
      <c r="BJ33">
        <f t="shared" si="10"/>
        <v>480</v>
      </c>
      <c r="BK33" s="2">
        <v>-1038.125</v>
      </c>
      <c r="BL33" s="2">
        <f t="shared" si="11"/>
        <v>481.87499999999932</v>
      </c>
      <c r="BM33" s="23">
        <f t="shared" si="12"/>
        <v>-19.934999999999945</v>
      </c>
      <c r="BN33" s="6">
        <f t="shared" si="13"/>
        <v>-1.8749999999993179</v>
      </c>
      <c r="BO33" s="12">
        <f t="shared" si="14"/>
        <v>-6.500000000005457E-2</v>
      </c>
      <c r="BP33" s="10"/>
      <c r="BQ33" s="35"/>
      <c r="BR33" s="8"/>
      <c r="BS33" s="15">
        <f t="shared" si="15"/>
        <v>103</v>
      </c>
      <c r="BT33" s="15">
        <f t="shared" si="16"/>
        <v>480</v>
      </c>
      <c r="BU33" s="2">
        <v>-1038.125</v>
      </c>
      <c r="BV33" s="12">
        <f t="shared" si="17"/>
        <v>482.38000000000011</v>
      </c>
      <c r="BW33" s="12">
        <f t="shared" si="18"/>
        <v>1037.6199999999999</v>
      </c>
      <c r="BX33" s="12">
        <f t="shared" si="19"/>
        <v>-1040</v>
      </c>
      <c r="BY33" s="27">
        <f t="shared" si="20"/>
        <v>-2.3800000000001091</v>
      </c>
      <c r="BZ33" s="30">
        <f t="shared" si="21"/>
        <v>104</v>
      </c>
      <c r="CA33" s="30">
        <v>0</v>
      </c>
      <c r="CB33">
        <v>-0.505</v>
      </c>
      <c r="CC33" s="40">
        <f t="shared" si="22"/>
        <v>1037.6199999999999</v>
      </c>
      <c r="CD33" s="40">
        <f t="shared" si="23"/>
        <v>-2.3800000000001091</v>
      </c>
      <c r="CE33" s="40">
        <f t="shared" si="24"/>
        <v>1040</v>
      </c>
      <c r="CF33" s="6"/>
      <c r="CG33" s="20">
        <f t="shared" si="43"/>
        <v>0.10999999999989996</v>
      </c>
      <c r="CH33" s="10"/>
      <c r="CI33" s="15">
        <f t="shared" si="25"/>
        <v>103</v>
      </c>
      <c r="CJ33" s="15">
        <f t="shared" si="26"/>
        <v>480</v>
      </c>
      <c r="CK33" s="2">
        <v>-1038.2349999999999</v>
      </c>
      <c r="CL33" s="12">
        <f t="shared" si="27"/>
        <v>482.28500000000008</v>
      </c>
      <c r="CM33" s="12">
        <f t="shared" si="28"/>
        <v>1037.7149999999999</v>
      </c>
      <c r="CN33" s="12">
        <f t="shared" si="29"/>
        <v>-1040</v>
      </c>
      <c r="CO33" s="27">
        <f t="shared" si="30"/>
        <v>-2.2850000000000819</v>
      </c>
      <c r="CP33" s="30">
        <f t="shared" si="31"/>
        <v>104</v>
      </c>
      <c r="CQ33" s="30">
        <v>0</v>
      </c>
      <c r="CR33">
        <v>-0.55000000000000004</v>
      </c>
      <c r="CS33" s="40">
        <f t="shared" si="32"/>
        <v>1037.6849999999999</v>
      </c>
      <c r="CT33" s="40">
        <f t="shared" si="33"/>
        <v>-2.3150000000000546</v>
      </c>
      <c r="CU33" s="40">
        <f t="shared" si="34"/>
        <v>1040</v>
      </c>
      <c r="DB33" s="2"/>
      <c r="DC33" s="2"/>
      <c r="DD33" s="2"/>
      <c r="DE33" s="6"/>
      <c r="DF33" s="12"/>
      <c r="DG33" s="10"/>
    </row>
    <row r="34" spans="2:111" x14ac:dyDescent="0.45">
      <c r="B34">
        <f t="shared" si="44"/>
        <v>26</v>
      </c>
      <c r="C34">
        <v>20</v>
      </c>
      <c r="D34">
        <f t="shared" si="45"/>
        <v>520</v>
      </c>
      <c r="E34" s="2">
        <v>520.245</v>
      </c>
      <c r="F34" s="23">
        <f t="shared" si="46"/>
        <v>19.990000000000009</v>
      </c>
      <c r="G34" s="6">
        <f t="shared" si="35"/>
        <v>0.24500000000000455</v>
      </c>
      <c r="H34" s="12">
        <f t="shared" si="47"/>
        <v>-9.9999999999909051E-3</v>
      </c>
      <c r="J34" s="20">
        <f t="shared" si="0"/>
        <v>-5.6843418860808015E-14</v>
      </c>
      <c r="K34" s="2"/>
      <c r="L34">
        <f t="shared" ref="L34" si="84">L33+1</f>
        <v>26</v>
      </c>
      <c r="M34">
        <v>20</v>
      </c>
      <c r="N34">
        <f t="shared" si="49"/>
        <v>520</v>
      </c>
      <c r="O34" s="2">
        <v>520.05999999999995</v>
      </c>
      <c r="P34" s="23">
        <f t="shared" si="50"/>
        <v>19.989999999999952</v>
      </c>
      <c r="Q34" s="6">
        <f t="shared" si="36"/>
        <v>5.999999999994543E-2</v>
      </c>
      <c r="R34" s="27">
        <f t="shared" si="51"/>
        <v>-1.0000000000047748E-2</v>
      </c>
      <c r="S34" s="19"/>
      <c r="T34" s="35"/>
      <c r="U34" s="19"/>
      <c r="V34" s="15">
        <f t="shared" si="52"/>
        <v>51</v>
      </c>
      <c r="W34" s="15">
        <f t="shared" si="53"/>
        <v>520</v>
      </c>
      <c r="X34" s="19">
        <v>520.02499999999998</v>
      </c>
      <c r="Y34" s="12">
        <f t="shared" si="54"/>
        <v>519.58499999999992</v>
      </c>
      <c r="Z34" s="27">
        <f t="shared" si="55"/>
        <v>-0.41500000000007731</v>
      </c>
      <c r="AA34" s="30">
        <f t="shared" si="56"/>
        <v>52</v>
      </c>
      <c r="AB34" s="30">
        <v>0</v>
      </c>
      <c r="AC34" s="19">
        <v>0.42499999999999999</v>
      </c>
      <c r="AD34" s="28">
        <f t="shared" si="37"/>
        <v>519.6</v>
      </c>
      <c r="AE34" s="29">
        <f t="shared" si="38"/>
        <v>-0.39999999999997726</v>
      </c>
      <c r="AF34" s="19"/>
      <c r="AG34" s="20">
        <f t="shared" si="39"/>
        <v>0.23000000000001819</v>
      </c>
      <c r="AI34" s="15">
        <f t="shared" si="57"/>
        <v>51</v>
      </c>
      <c r="AJ34" s="15">
        <f t="shared" si="58"/>
        <v>520</v>
      </c>
      <c r="AK34" s="2">
        <v>520.255</v>
      </c>
      <c r="AL34" s="12">
        <f t="shared" si="59"/>
        <v>519.70000000000005</v>
      </c>
      <c r="AM34" s="27">
        <f t="shared" si="60"/>
        <v>-0.29999999999995453</v>
      </c>
      <c r="AN34" s="30">
        <f t="shared" si="61"/>
        <v>52</v>
      </c>
      <c r="AO34" s="30">
        <v>0</v>
      </c>
      <c r="AP34" s="19">
        <v>0.55000000000000004</v>
      </c>
      <c r="AQ34" s="28">
        <f t="shared" si="40"/>
        <v>519.70500000000004</v>
      </c>
      <c r="AR34" s="29">
        <f t="shared" si="41"/>
        <v>-0.29499999999995907</v>
      </c>
      <c r="AT34" s="36"/>
      <c r="AU34" s="36"/>
      <c r="AW34">
        <f t="shared" si="1"/>
        <v>51</v>
      </c>
      <c r="AX34">
        <f t="shared" si="2"/>
        <v>-20</v>
      </c>
      <c r="AY34">
        <f t="shared" si="3"/>
        <v>500</v>
      </c>
      <c r="AZ34" s="2">
        <v>-1018.235</v>
      </c>
      <c r="BA34" s="2">
        <f t="shared" si="4"/>
        <v>501.76499999999953</v>
      </c>
      <c r="BB34" s="23">
        <f t="shared" si="5"/>
        <v>-20.009999999999991</v>
      </c>
      <c r="BC34" s="6">
        <f t="shared" si="6"/>
        <v>-1.7649999999995316</v>
      </c>
      <c r="BD34" s="12">
        <f t="shared" si="7"/>
        <v>9.9999999999909051E-3</v>
      </c>
      <c r="BF34" s="20">
        <f t="shared" si="42"/>
        <v>2.4999999999977263E-2</v>
      </c>
      <c r="BH34">
        <f t="shared" si="8"/>
        <v>51</v>
      </c>
      <c r="BI34">
        <f t="shared" si="9"/>
        <v>-20</v>
      </c>
      <c r="BJ34">
        <f t="shared" si="10"/>
        <v>500</v>
      </c>
      <c r="BK34" s="2">
        <v>-1018.19</v>
      </c>
      <c r="BL34" s="2">
        <f t="shared" si="11"/>
        <v>501.80999999999926</v>
      </c>
      <c r="BM34" s="23">
        <f t="shared" si="12"/>
        <v>-19.985000000000014</v>
      </c>
      <c r="BN34" s="6">
        <f t="shared" si="13"/>
        <v>-1.8099999999992633</v>
      </c>
      <c r="BO34" s="12">
        <f t="shared" si="14"/>
        <v>-1.4999999999986358E-2</v>
      </c>
      <c r="BP34" s="10"/>
      <c r="BQ34" s="35"/>
      <c r="BR34" s="8"/>
      <c r="BS34" s="15">
        <f t="shared" si="15"/>
        <v>101</v>
      </c>
      <c r="BT34" s="15">
        <f t="shared" si="16"/>
        <v>500</v>
      </c>
      <c r="BU34" s="2">
        <v>-1018.19</v>
      </c>
      <c r="BV34" s="12">
        <f t="shared" si="17"/>
        <v>502.31499999999994</v>
      </c>
      <c r="BW34" s="12">
        <f t="shared" si="18"/>
        <v>1017.6850000000001</v>
      </c>
      <c r="BX34" s="12">
        <f t="shared" si="19"/>
        <v>-1020</v>
      </c>
      <c r="BY34" s="27">
        <f t="shared" si="20"/>
        <v>-2.3149999999999409</v>
      </c>
      <c r="BZ34" s="30">
        <f t="shared" si="21"/>
        <v>102</v>
      </c>
      <c r="CA34" s="30">
        <v>0</v>
      </c>
      <c r="CB34">
        <v>-0.505</v>
      </c>
      <c r="CC34" s="40">
        <f t="shared" si="22"/>
        <v>1017.6850000000001</v>
      </c>
      <c r="CD34" s="40">
        <f t="shared" si="23"/>
        <v>-2.3149999999999409</v>
      </c>
      <c r="CE34" s="40">
        <f t="shared" si="24"/>
        <v>1020</v>
      </c>
      <c r="CF34" s="6"/>
      <c r="CG34" s="20">
        <f t="shared" si="43"/>
        <v>0.125</v>
      </c>
      <c r="CH34" s="10"/>
      <c r="CI34" s="15">
        <f t="shared" si="25"/>
        <v>101</v>
      </c>
      <c r="CJ34" s="15">
        <f t="shared" si="26"/>
        <v>500</v>
      </c>
      <c r="CK34" s="2">
        <v>-1018.3150000000001</v>
      </c>
      <c r="CL34" s="12">
        <f t="shared" si="27"/>
        <v>502.22499999999991</v>
      </c>
      <c r="CM34" s="12">
        <f t="shared" si="28"/>
        <v>1017.7750000000001</v>
      </c>
      <c r="CN34" s="12">
        <f t="shared" si="29"/>
        <v>-1020</v>
      </c>
      <c r="CO34" s="27">
        <f t="shared" si="30"/>
        <v>-2.2249999999999091</v>
      </c>
      <c r="CP34" s="30">
        <f t="shared" si="31"/>
        <v>102</v>
      </c>
      <c r="CQ34" s="30">
        <v>0</v>
      </c>
      <c r="CR34">
        <v>-0.52</v>
      </c>
      <c r="CS34" s="40">
        <f t="shared" si="32"/>
        <v>1017.7950000000001</v>
      </c>
      <c r="CT34" s="40">
        <f t="shared" si="33"/>
        <v>-2.2049999999999272</v>
      </c>
      <c r="CU34" s="40">
        <f t="shared" si="34"/>
        <v>1020</v>
      </c>
      <c r="DB34" s="2"/>
      <c r="DC34" s="2"/>
      <c r="DD34" s="2"/>
      <c r="DE34" s="6"/>
      <c r="DF34" s="12"/>
      <c r="DG34" s="10"/>
    </row>
    <row r="35" spans="2:111" x14ac:dyDescent="0.45">
      <c r="B35">
        <f t="shared" si="44"/>
        <v>27</v>
      </c>
      <c r="C35">
        <v>20</v>
      </c>
      <c r="D35">
        <f t="shared" si="45"/>
        <v>540</v>
      </c>
      <c r="E35" s="2">
        <v>540.27</v>
      </c>
      <c r="F35" s="23">
        <f t="shared" si="46"/>
        <v>20.024999999999977</v>
      </c>
      <c r="G35" s="6">
        <f t="shared" si="35"/>
        <v>0.26999999999998181</v>
      </c>
      <c r="H35" s="12">
        <f t="shared" si="47"/>
        <v>2.4999999999977263E-2</v>
      </c>
      <c r="J35" s="20">
        <f t="shared" si="0"/>
        <v>1.1368683772161603E-13</v>
      </c>
      <c r="K35" s="2"/>
      <c r="L35">
        <f t="shared" ref="L35" si="85">L34+1</f>
        <v>27</v>
      </c>
      <c r="M35">
        <v>20</v>
      </c>
      <c r="N35">
        <f t="shared" si="49"/>
        <v>540</v>
      </c>
      <c r="O35" s="2">
        <v>540.08500000000004</v>
      </c>
      <c r="P35" s="23">
        <f t="shared" si="50"/>
        <v>20.025000000000091</v>
      </c>
      <c r="Q35" s="6">
        <f t="shared" si="36"/>
        <v>8.500000000003638E-2</v>
      </c>
      <c r="R35" s="27">
        <f t="shared" si="51"/>
        <v>2.5000000000090949E-2</v>
      </c>
      <c r="S35" s="19"/>
      <c r="T35" s="35"/>
      <c r="U35" s="19"/>
      <c r="V35" s="15">
        <f t="shared" si="52"/>
        <v>53</v>
      </c>
      <c r="W35" s="15">
        <f t="shared" si="53"/>
        <v>540</v>
      </c>
      <c r="X35" s="19">
        <v>540.07500000000005</v>
      </c>
      <c r="Y35" s="12">
        <f t="shared" si="54"/>
        <v>539.65000000000009</v>
      </c>
      <c r="Z35" s="27">
        <f t="shared" si="55"/>
        <v>-0.34999999999990905</v>
      </c>
      <c r="AA35" s="30">
        <f t="shared" si="56"/>
        <v>54</v>
      </c>
      <c r="AB35" s="30">
        <v>0</v>
      </c>
      <c r="AC35" s="19">
        <v>0.42499999999999999</v>
      </c>
      <c r="AD35" s="28">
        <f t="shared" si="37"/>
        <v>539.65000000000009</v>
      </c>
      <c r="AE35" s="29">
        <f t="shared" si="38"/>
        <v>-0.34999999999990905</v>
      </c>
      <c r="AF35" s="19"/>
      <c r="AG35" s="20">
        <f t="shared" si="39"/>
        <v>0.19999999999993179</v>
      </c>
      <c r="AI35" s="15">
        <f t="shared" si="57"/>
        <v>53</v>
      </c>
      <c r="AJ35" s="15">
        <f t="shared" si="58"/>
        <v>540</v>
      </c>
      <c r="AK35" s="2">
        <v>540.27499999999998</v>
      </c>
      <c r="AL35" s="12">
        <f t="shared" si="59"/>
        <v>539.72500000000002</v>
      </c>
      <c r="AM35" s="27">
        <f t="shared" si="60"/>
        <v>-0.27499999999997726</v>
      </c>
      <c r="AN35" s="30">
        <f t="shared" si="61"/>
        <v>54</v>
      </c>
      <c r="AO35" s="30">
        <v>0</v>
      </c>
      <c r="AP35" s="19">
        <v>0.55000000000000004</v>
      </c>
      <c r="AQ35" s="28">
        <f t="shared" si="40"/>
        <v>539.72500000000002</v>
      </c>
      <c r="AR35" s="29">
        <f t="shared" si="41"/>
        <v>-0.27499999999997726</v>
      </c>
      <c r="AT35" s="36"/>
      <c r="AU35" s="36"/>
      <c r="AW35">
        <f t="shared" si="1"/>
        <v>50</v>
      </c>
      <c r="AX35">
        <f t="shared" si="2"/>
        <v>-20</v>
      </c>
      <c r="AY35">
        <f t="shared" si="3"/>
        <v>520</v>
      </c>
      <c r="AZ35" s="2">
        <v>-998.22500000000002</v>
      </c>
      <c r="BA35" s="2">
        <f t="shared" si="4"/>
        <v>521.77499999999952</v>
      </c>
      <c r="BB35" s="23">
        <f t="shared" si="5"/>
        <v>-20.045000000000073</v>
      </c>
      <c r="BC35" s="6">
        <f t="shared" si="6"/>
        <v>-1.7749999999995225</v>
      </c>
      <c r="BD35" s="12">
        <f t="shared" si="7"/>
        <v>4.500000000007276E-2</v>
      </c>
      <c r="BF35" s="20">
        <f t="shared" si="42"/>
        <v>0</v>
      </c>
      <c r="BH35">
        <f t="shared" si="8"/>
        <v>50</v>
      </c>
      <c r="BI35">
        <f t="shared" si="9"/>
        <v>-20</v>
      </c>
      <c r="BJ35">
        <f t="shared" si="10"/>
        <v>520</v>
      </c>
      <c r="BK35" s="2">
        <v>-998.20500000000004</v>
      </c>
      <c r="BL35" s="2">
        <f t="shared" si="11"/>
        <v>521.79499999999928</v>
      </c>
      <c r="BM35" s="23">
        <f t="shared" si="12"/>
        <v>-20.045000000000073</v>
      </c>
      <c r="BN35" s="6">
        <f t="shared" si="13"/>
        <v>-1.794999999999277</v>
      </c>
      <c r="BO35" s="12">
        <f t="shared" si="14"/>
        <v>4.500000000007276E-2</v>
      </c>
      <c r="BP35" s="10"/>
      <c r="BQ35" s="35"/>
      <c r="BR35" s="8"/>
      <c r="BS35" s="15">
        <f t="shared" si="15"/>
        <v>99</v>
      </c>
      <c r="BT35" s="15">
        <f t="shared" si="16"/>
        <v>520</v>
      </c>
      <c r="BU35" s="2">
        <v>-998.20500000000004</v>
      </c>
      <c r="BV35" s="12">
        <f t="shared" si="17"/>
        <v>522.28</v>
      </c>
      <c r="BW35" s="12">
        <f t="shared" si="18"/>
        <v>997.72</v>
      </c>
      <c r="BX35" s="12">
        <f t="shared" si="19"/>
        <v>-1000</v>
      </c>
      <c r="BY35" s="27">
        <f t="shared" si="20"/>
        <v>-2.2799999999999727</v>
      </c>
      <c r="BZ35" s="30">
        <f t="shared" si="21"/>
        <v>100</v>
      </c>
      <c r="CA35" s="30">
        <v>0</v>
      </c>
      <c r="CB35">
        <v>-0.505</v>
      </c>
      <c r="CC35" s="40">
        <f t="shared" si="22"/>
        <v>997.7</v>
      </c>
      <c r="CD35" s="40">
        <f t="shared" si="23"/>
        <v>-2.2999999999999545</v>
      </c>
      <c r="CE35" s="40">
        <f t="shared" si="24"/>
        <v>1000</v>
      </c>
      <c r="CF35" s="6"/>
      <c r="CG35" s="20">
        <f t="shared" si="43"/>
        <v>0.13499999999999091</v>
      </c>
      <c r="CH35" s="10"/>
      <c r="CI35" s="15">
        <f t="shared" si="25"/>
        <v>99</v>
      </c>
      <c r="CJ35" s="15">
        <f t="shared" si="26"/>
        <v>520</v>
      </c>
      <c r="CK35" s="2">
        <v>-998.34</v>
      </c>
      <c r="CL35" s="12">
        <f t="shared" si="27"/>
        <v>522.20499999999993</v>
      </c>
      <c r="CM35" s="12">
        <f t="shared" si="28"/>
        <v>997.79500000000007</v>
      </c>
      <c r="CN35" s="12">
        <f t="shared" si="29"/>
        <v>-1000</v>
      </c>
      <c r="CO35" s="27">
        <f t="shared" si="30"/>
        <v>-2.2049999999999272</v>
      </c>
      <c r="CP35" s="30">
        <f t="shared" si="31"/>
        <v>100</v>
      </c>
      <c r="CQ35" s="30">
        <v>0</v>
      </c>
      <c r="CR35">
        <v>-0.54</v>
      </c>
      <c r="CS35" s="40">
        <f t="shared" si="32"/>
        <v>997.80000000000007</v>
      </c>
      <c r="CT35" s="40">
        <f t="shared" si="33"/>
        <v>-2.1999999999999318</v>
      </c>
      <c r="CU35" s="40">
        <f t="shared" si="34"/>
        <v>1000</v>
      </c>
      <c r="DB35" s="2"/>
      <c r="DC35" s="2"/>
      <c r="DD35" s="2"/>
      <c r="DE35" s="6"/>
      <c r="DF35" s="12"/>
      <c r="DG35" s="10"/>
    </row>
    <row r="36" spans="2:111" x14ac:dyDescent="0.45">
      <c r="B36">
        <f t="shared" si="44"/>
        <v>28</v>
      </c>
      <c r="C36">
        <v>20</v>
      </c>
      <c r="D36">
        <f t="shared" si="45"/>
        <v>560</v>
      </c>
      <c r="E36" s="2">
        <v>560.31500000000005</v>
      </c>
      <c r="F36" s="23">
        <f t="shared" si="46"/>
        <v>20.045000000000073</v>
      </c>
      <c r="G36" s="6">
        <f t="shared" si="35"/>
        <v>0.31500000000005457</v>
      </c>
      <c r="H36" s="12">
        <f t="shared" si="47"/>
        <v>4.500000000007276E-2</v>
      </c>
      <c r="J36" s="20">
        <f t="shared" si="0"/>
        <v>1.4999999999872671E-2</v>
      </c>
      <c r="K36" s="2"/>
      <c r="L36">
        <f t="shared" ref="L36" si="86">L35+1</f>
        <v>28</v>
      </c>
      <c r="M36">
        <v>20</v>
      </c>
      <c r="N36">
        <f t="shared" si="49"/>
        <v>560</v>
      </c>
      <c r="O36" s="2">
        <v>560.14499999999998</v>
      </c>
      <c r="P36" s="23">
        <f t="shared" si="50"/>
        <v>20.059999999999945</v>
      </c>
      <c r="Q36" s="6">
        <f t="shared" si="36"/>
        <v>0.14499999999998181</v>
      </c>
      <c r="R36" s="27">
        <f t="shared" si="51"/>
        <v>5.999999999994543E-2</v>
      </c>
      <c r="S36" s="19"/>
      <c r="T36" s="35"/>
      <c r="U36" s="19"/>
      <c r="V36" s="15">
        <f t="shared" si="52"/>
        <v>55</v>
      </c>
      <c r="W36" s="15">
        <f t="shared" si="53"/>
        <v>560</v>
      </c>
      <c r="X36" s="19">
        <v>560.18499999999995</v>
      </c>
      <c r="Y36" s="12">
        <f t="shared" si="54"/>
        <v>559.76</v>
      </c>
      <c r="Z36" s="27">
        <f t="shared" si="55"/>
        <v>-0.24000000000000909</v>
      </c>
      <c r="AA36" s="30">
        <f t="shared" si="56"/>
        <v>56</v>
      </c>
      <c r="AB36" s="30">
        <v>0</v>
      </c>
      <c r="AC36" s="19">
        <v>0.41499999999999998</v>
      </c>
      <c r="AD36" s="28">
        <f t="shared" si="37"/>
        <v>559.77</v>
      </c>
      <c r="AE36" s="29">
        <f t="shared" si="38"/>
        <v>-0.23000000000001819</v>
      </c>
      <c r="AF36" s="19"/>
      <c r="AG36" s="20">
        <f t="shared" si="39"/>
        <v>9.0000000000031832E-2</v>
      </c>
      <c r="AI36" s="15">
        <f t="shared" si="57"/>
        <v>55</v>
      </c>
      <c r="AJ36" s="15">
        <f t="shared" si="58"/>
        <v>560</v>
      </c>
      <c r="AK36" s="2">
        <v>560.27499999999998</v>
      </c>
      <c r="AL36" s="12">
        <f t="shared" si="59"/>
        <v>559.72500000000002</v>
      </c>
      <c r="AM36" s="27">
        <f t="shared" si="60"/>
        <v>-0.27499999999997726</v>
      </c>
      <c r="AN36" s="30">
        <f t="shared" si="61"/>
        <v>56</v>
      </c>
      <c r="AO36" s="30">
        <v>0</v>
      </c>
      <c r="AP36" s="19">
        <v>0.54500000000000004</v>
      </c>
      <c r="AQ36" s="28">
        <f t="shared" si="40"/>
        <v>559.73</v>
      </c>
      <c r="AR36" s="29">
        <f t="shared" si="41"/>
        <v>-0.26999999999998181</v>
      </c>
      <c r="AT36" s="36"/>
      <c r="AU36" s="36"/>
      <c r="AW36">
        <f t="shared" si="1"/>
        <v>49</v>
      </c>
      <c r="AX36">
        <f t="shared" si="2"/>
        <v>-20</v>
      </c>
      <c r="AY36">
        <f t="shared" si="3"/>
        <v>540</v>
      </c>
      <c r="AZ36" s="2">
        <v>-978.18</v>
      </c>
      <c r="BA36" s="2">
        <f t="shared" si="4"/>
        <v>541.8199999999996</v>
      </c>
      <c r="BB36" s="23">
        <f t="shared" si="5"/>
        <v>-20.009999999999991</v>
      </c>
      <c r="BC36" s="6">
        <f t="shared" si="6"/>
        <v>-1.8199999999995953</v>
      </c>
      <c r="BD36" s="12">
        <f t="shared" si="7"/>
        <v>9.9999999999909051E-3</v>
      </c>
      <c r="BF36" s="20">
        <f t="shared" si="42"/>
        <v>-1.4999999999986358E-2</v>
      </c>
      <c r="BH36">
        <f t="shared" si="8"/>
        <v>49</v>
      </c>
      <c r="BI36">
        <f t="shared" si="9"/>
        <v>-20</v>
      </c>
      <c r="BJ36">
        <f t="shared" si="10"/>
        <v>540</v>
      </c>
      <c r="BK36" s="2">
        <v>-978.16</v>
      </c>
      <c r="BL36" s="2">
        <f t="shared" si="11"/>
        <v>541.83999999999935</v>
      </c>
      <c r="BM36" s="23">
        <f t="shared" si="12"/>
        <v>-20.024999999999977</v>
      </c>
      <c r="BN36" s="6">
        <f t="shared" si="13"/>
        <v>-1.8399999999993497</v>
      </c>
      <c r="BO36" s="12">
        <f t="shared" si="14"/>
        <v>2.4999999999977263E-2</v>
      </c>
      <c r="BP36" s="10"/>
      <c r="BQ36" s="35"/>
      <c r="BR36" s="8"/>
      <c r="BS36" s="15">
        <f t="shared" si="15"/>
        <v>97</v>
      </c>
      <c r="BT36" s="15">
        <f t="shared" si="16"/>
        <v>540</v>
      </c>
      <c r="BU36" s="2">
        <v>-978.16</v>
      </c>
      <c r="BV36" s="12">
        <f t="shared" si="17"/>
        <v>542.33000000000004</v>
      </c>
      <c r="BW36" s="12">
        <f t="shared" si="18"/>
        <v>977.67</v>
      </c>
      <c r="BX36" s="12">
        <f t="shared" si="19"/>
        <v>-980</v>
      </c>
      <c r="BY36" s="27">
        <f t="shared" si="20"/>
        <v>-2.3300000000000409</v>
      </c>
      <c r="BZ36" s="30">
        <f t="shared" si="21"/>
        <v>98</v>
      </c>
      <c r="CA36" s="30">
        <v>0</v>
      </c>
      <c r="CB36">
        <v>-0.48499999999999999</v>
      </c>
      <c r="CC36" s="40">
        <f t="shared" si="22"/>
        <v>977.67499999999995</v>
      </c>
      <c r="CD36" s="40">
        <f t="shared" si="23"/>
        <v>-2.3250000000000455</v>
      </c>
      <c r="CE36" s="40">
        <f t="shared" si="24"/>
        <v>980</v>
      </c>
      <c r="CF36" s="6"/>
      <c r="CG36" s="20">
        <f t="shared" si="43"/>
        <v>0.1550000000000864</v>
      </c>
      <c r="CH36" s="10"/>
      <c r="CI36" s="15">
        <f t="shared" si="25"/>
        <v>97</v>
      </c>
      <c r="CJ36" s="15">
        <f t="shared" si="26"/>
        <v>540</v>
      </c>
      <c r="CK36" s="2">
        <v>-978.31500000000005</v>
      </c>
      <c r="CL36" s="12">
        <f t="shared" si="27"/>
        <v>542.21999999999991</v>
      </c>
      <c r="CM36" s="12">
        <f t="shared" si="28"/>
        <v>977.78000000000009</v>
      </c>
      <c r="CN36" s="12">
        <f t="shared" si="29"/>
        <v>-980</v>
      </c>
      <c r="CO36" s="27">
        <f t="shared" si="30"/>
        <v>-2.2199999999999136</v>
      </c>
      <c r="CP36" s="30">
        <f t="shared" si="31"/>
        <v>98</v>
      </c>
      <c r="CQ36" s="30">
        <v>0</v>
      </c>
      <c r="CR36">
        <v>-0.54500000000000004</v>
      </c>
      <c r="CS36" s="40">
        <f t="shared" si="32"/>
        <v>977.7700000000001</v>
      </c>
      <c r="CT36" s="40">
        <f t="shared" si="33"/>
        <v>-2.2299999999999045</v>
      </c>
      <c r="CU36" s="40">
        <f t="shared" si="34"/>
        <v>980</v>
      </c>
      <c r="DB36" s="2"/>
      <c r="DC36" s="2"/>
      <c r="DD36" s="2"/>
      <c r="DE36" s="6"/>
      <c r="DF36" s="12"/>
      <c r="DG36" s="10"/>
    </row>
    <row r="37" spans="2:111" x14ac:dyDescent="0.45">
      <c r="B37">
        <f t="shared" si="44"/>
        <v>29</v>
      </c>
      <c r="C37">
        <v>20</v>
      </c>
      <c r="D37">
        <f t="shared" si="45"/>
        <v>580</v>
      </c>
      <c r="E37" s="2">
        <v>580.32000000000005</v>
      </c>
      <c r="F37" s="23">
        <f t="shared" si="46"/>
        <v>20.004999999999995</v>
      </c>
      <c r="G37" s="6">
        <f t="shared" si="35"/>
        <v>0.32000000000005002</v>
      </c>
      <c r="H37" s="12">
        <f t="shared" si="47"/>
        <v>4.9999999999954525E-3</v>
      </c>
      <c r="J37" s="20">
        <f t="shared" si="0"/>
        <v>1.4999999999986358E-2</v>
      </c>
      <c r="K37" s="2"/>
      <c r="L37">
        <f t="shared" ref="L37" si="87">L36+1</f>
        <v>29</v>
      </c>
      <c r="M37">
        <v>20</v>
      </c>
      <c r="N37">
        <f t="shared" si="49"/>
        <v>580</v>
      </c>
      <c r="O37" s="2">
        <v>580.16499999999996</v>
      </c>
      <c r="P37" s="23">
        <f t="shared" si="50"/>
        <v>20.019999999999982</v>
      </c>
      <c r="Q37" s="6">
        <f t="shared" si="36"/>
        <v>0.16499999999996362</v>
      </c>
      <c r="R37" s="27">
        <f t="shared" si="51"/>
        <v>1.999999999998181E-2</v>
      </c>
      <c r="S37" s="19"/>
      <c r="T37" s="35"/>
      <c r="U37" s="19"/>
      <c r="V37" s="15">
        <f t="shared" si="52"/>
        <v>57</v>
      </c>
      <c r="W37" s="15">
        <f t="shared" si="53"/>
        <v>580</v>
      </c>
      <c r="X37" s="19">
        <v>580.16</v>
      </c>
      <c r="Y37" s="12">
        <f t="shared" si="54"/>
        <v>579.745</v>
      </c>
      <c r="Z37" s="27">
        <f t="shared" si="55"/>
        <v>-0.25499999999999545</v>
      </c>
      <c r="AA37" s="30">
        <f t="shared" si="56"/>
        <v>58</v>
      </c>
      <c r="AB37" s="30">
        <v>0</v>
      </c>
      <c r="AC37" s="19">
        <v>0.41499999999999998</v>
      </c>
      <c r="AD37" s="28">
        <f t="shared" si="37"/>
        <v>579.745</v>
      </c>
      <c r="AE37" s="29">
        <f t="shared" si="38"/>
        <v>-0.25499999999999545</v>
      </c>
      <c r="AF37" s="19"/>
      <c r="AG37" s="20">
        <f t="shared" si="39"/>
        <v>0.17500000000006821</v>
      </c>
      <c r="AI37" s="15">
        <f t="shared" si="57"/>
        <v>57</v>
      </c>
      <c r="AJ37" s="15">
        <f t="shared" si="58"/>
        <v>580</v>
      </c>
      <c r="AK37" s="2">
        <v>580.33500000000004</v>
      </c>
      <c r="AL37" s="12">
        <f t="shared" si="59"/>
        <v>579.79000000000008</v>
      </c>
      <c r="AM37" s="27">
        <f t="shared" si="60"/>
        <v>-0.20999999999992269</v>
      </c>
      <c r="AN37" s="30">
        <f t="shared" si="61"/>
        <v>58</v>
      </c>
      <c r="AO37" s="30">
        <v>0</v>
      </c>
      <c r="AP37" s="19">
        <v>0.55000000000000004</v>
      </c>
      <c r="AQ37" s="28">
        <f t="shared" si="40"/>
        <v>579.78500000000008</v>
      </c>
      <c r="AR37" s="29">
        <f t="shared" si="41"/>
        <v>-0.21499999999991815</v>
      </c>
      <c r="AT37" s="36"/>
      <c r="AU37" s="36"/>
      <c r="AW37">
        <f t="shared" si="1"/>
        <v>48</v>
      </c>
      <c r="AX37">
        <f t="shared" si="2"/>
        <v>-20</v>
      </c>
      <c r="AY37">
        <f t="shared" si="3"/>
        <v>560</v>
      </c>
      <c r="AZ37" s="2">
        <v>-958.17</v>
      </c>
      <c r="BA37" s="2">
        <f t="shared" si="4"/>
        <v>561.82999999999959</v>
      </c>
      <c r="BB37" s="23">
        <f t="shared" si="5"/>
        <v>-19.979999999999905</v>
      </c>
      <c r="BC37" s="6">
        <f t="shared" si="6"/>
        <v>-1.8299999999995862</v>
      </c>
      <c r="BD37" s="12">
        <f t="shared" si="7"/>
        <v>-2.0000000000095497E-2</v>
      </c>
      <c r="BF37" s="20">
        <f t="shared" si="42"/>
        <v>-4.0000000000077307E-2</v>
      </c>
      <c r="BH37">
        <f t="shared" si="8"/>
        <v>48</v>
      </c>
      <c r="BI37">
        <f t="shared" si="9"/>
        <v>-20</v>
      </c>
      <c r="BJ37">
        <f t="shared" si="10"/>
        <v>560</v>
      </c>
      <c r="BK37" s="2">
        <v>-958.13499999999999</v>
      </c>
      <c r="BL37" s="2">
        <f t="shared" si="11"/>
        <v>561.86499999999933</v>
      </c>
      <c r="BM37" s="23">
        <f t="shared" si="12"/>
        <v>-20.019999999999982</v>
      </c>
      <c r="BN37" s="6">
        <f t="shared" si="13"/>
        <v>-1.864999999999327</v>
      </c>
      <c r="BO37" s="12">
        <f t="shared" si="14"/>
        <v>1.999999999998181E-2</v>
      </c>
      <c r="BP37" s="10"/>
      <c r="BQ37" s="35"/>
      <c r="BR37" s="8"/>
      <c r="BS37" s="15">
        <f t="shared" si="15"/>
        <v>95</v>
      </c>
      <c r="BT37" s="15">
        <f t="shared" si="16"/>
        <v>560</v>
      </c>
      <c r="BU37" s="2">
        <v>-958.13499999999999</v>
      </c>
      <c r="BV37" s="12">
        <f t="shared" si="17"/>
        <v>562.35</v>
      </c>
      <c r="BW37" s="12">
        <f t="shared" si="18"/>
        <v>957.65</v>
      </c>
      <c r="BX37" s="12">
        <f t="shared" si="19"/>
        <v>-960</v>
      </c>
      <c r="BY37" s="27">
        <f t="shared" si="20"/>
        <v>-2.3500000000000227</v>
      </c>
      <c r="BZ37" s="30">
        <f t="shared" si="21"/>
        <v>96</v>
      </c>
      <c r="CA37" s="30">
        <v>0</v>
      </c>
      <c r="CB37">
        <v>-0.49</v>
      </c>
      <c r="CC37" s="40">
        <f t="shared" si="22"/>
        <v>957.64499999999998</v>
      </c>
      <c r="CD37" s="40">
        <f t="shared" si="23"/>
        <v>-2.3550000000000182</v>
      </c>
      <c r="CE37" s="40">
        <f t="shared" si="24"/>
        <v>960</v>
      </c>
      <c r="CF37" s="6"/>
      <c r="CG37" s="20">
        <f t="shared" si="43"/>
        <v>0.125</v>
      </c>
      <c r="CH37" s="10"/>
      <c r="CI37" s="15">
        <f t="shared" si="25"/>
        <v>95</v>
      </c>
      <c r="CJ37" s="15">
        <f t="shared" si="26"/>
        <v>560</v>
      </c>
      <c r="CK37" s="2">
        <v>-958.26</v>
      </c>
      <c r="CL37" s="12">
        <f t="shared" si="27"/>
        <v>562.29</v>
      </c>
      <c r="CM37" s="12">
        <f t="shared" si="28"/>
        <v>957.71</v>
      </c>
      <c r="CN37" s="12">
        <f t="shared" si="29"/>
        <v>-960</v>
      </c>
      <c r="CO37" s="27">
        <f t="shared" si="30"/>
        <v>-2.2899999999999636</v>
      </c>
      <c r="CP37" s="30">
        <f t="shared" si="31"/>
        <v>96</v>
      </c>
      <c r="CQ37" s="30">
        <v>0</v>
      </c>
      <c r="CR37">
        <v>-0.53500000000000003</v>
      </c>
      <c r="CS37" s="40">
        <f t="shared" si="32"/>
        <v>957.72500000000002</v>
      </c>
      <c r="CT37" s="40">
        <f t="shared" si="33"/>
        <v>-2.2749999999999773</v>
      </c>
      <c r="CU37" s="40">
        <f t="shared" si="34"/>
        <v>960</v>
      </c>
      <c r="DB37" s="2"/>
      <c r="DC37" s="2"/>
      <c r="DD37" s="2"/>
      <c r="DE37" s="6"/>
      <c r="DF37" s="12"/>
      <c r="DG37" s="10"/>
    </row>
    <row r="38" spans="2:111" x14ac:dyDescent="0.45">
      <c r="B38">
        <f t="shared" si="44"/>
        <v>30</v>
      </c>
      <c r="C38">
        <v>20</v>
      </c>
      <c r="D38">
        <f t="shared" si="45"/>
        <v>600</v>
      </c>
      <c r="E38" s="19">
        <v>600.23500000000001</v>
      </c>
      <c r="F38" s="23">
        <f t="shared" si="46"/>
        <v>19.914999999999964</v>
      </c>
      <c r="G38" s="6">
        <f t="shared" si="35"/>
        <v>0.23500000000001364</v>
      </c>
      <c r="H38" s="12">
        <f t="shared" si="47"/>
        <v>-8.500000000003638E-2</v>
      </c>
      <c r="J38" s="20">
        <f t="shared" si="0"/>
        <v>5.0000000000068212E-2</v>
      </c>
      <c r="K38" s="2"/>
      <c r="L38">
        <f t="shared" ref="L38" si="88">L37+1</f>
        <v>30</v>
      </c>
      <c r="M38">
        <v>20</v>
      </c>
      <c r="N38">
        <f t="shared" si="49"/>
        <v>600</v>
      </c>
      <c r="O38" s="19">
        <v>600.13</v>
      </c>
      <c r="P38" s="23">
        <f t="shared" si="50"/>
        <v>19.965000000000032</v>
      </c>
      <c r="Q38" s="6">
        <f t="shared" si="36"/>
        <v>0.12999999999999545</v>
      </c>
      <c r="R38" s="27">
        <f t="shared" si="51"/>
        <v>-3.4999999999968168E-2</v>
      </c>
      <c r="S38" s="19"/>
      <c r="T38" s="35"/>
      <c r="U38" s="19"/>
      <c r="V38" s="15">
        <f t="shared" si="52"/>
        <v>59</v>
      </c>
      <c r="W38" s="15">
        <f t="shared" si="53"/>
        <v>600</v>
      </c>
      <c r="X38" s="19">
        <v>600.16999999999996</v>
      </c>
      <c r="Y38" s="12">
        <f t="shared" si="54"/>
        <v>599.755</v>
      </c>
      <c r="Z38" s="27">
        <f t="shared" si="55"/>
        <v>-0.24500000000000455</v>
      </c>
      <c r="AA38" s="30">
        <f t="shared" si="56"/>
        <v>60</v>
      </c>
      <c r="AB38" s="30">
        <v>0</v>
      </c>
      <c r="AC38" s="19">
        <v>0.41</v>
      </c>
      <c r="AD38" s="28">
        <f t="shared" si="37"/>
        <v>599.76</v>
      </c>
      <c r="AE38" s="29">
        <f t="shared" si="38"/>
        <v>-0.24000000000000909</v>
      </c>
      <c r="AF38" s="19"/>
      <c r="AG38" s="20">
        <f t="shared" si="39"/>
        <v>0.10500000000001819</v>
      </c>
      <c r="AI38" s="15">
        <f t="shared" si="57"/>
        <v>59</v>
      </c>
      <c r="AJ38" s="15">
        <f t="shared" si="58"/>
        <v>600</v>
      </c>
      <c r="AK38" s="19">
        <v>600.27499999999998</v>
      </c>
      <c r="AL38" s="12">
        <f t="shared" si="59"/>
        <v>599.72500000000002</v>
      </c>
      <c r="AM38" s="27">
        <f t="shared" si="60"/>
        <v>-0.27499999999997726</v>
      </c>
      <c r="AN38" s="30">
        <f t="shared" si="61"/>
        <v>60</v>
      </c>
      <c r="AO38" s="30">
        <v>0</v>
      </c>
      <c r="AP38" s="19">
        <v>0.54500000000000004</v>
      </c>
      <c r="AQ38" s="28">
        <f t="shared" si="40"/>
        <v>599.73</v>
      </c>
      <c r="AR38" s="29">
        <f t="shared" si="41"/>
        <v>-0.26999999999998181</v>
      </c>
      <c r="AT38" s="36"/>
      <c r="AU38" s="36"/>
      <c r="AW38">
        <f t="shared" si="1"/>
        <v>47</v>
      </c>
      <c r="AX38">
        <f t="shared" si="2"/>
        <v>-20</v>
      </c>
      <c r="AY38">
        <f t="shared" si="3"/>
        <v>580</v>
      </c>
      <c r="AZ38" s="19">
        <v>-938.19</v>
      </c>
      <c r="BA38" s="2">
        <f t="shared" si="4"/>
        <v>581.80999999999949</v>
      </c>
      <c r="BB38" s="23">
        <f t="shared" si="5"/>
        <v>-19.975000000000023</v>
      </c>
      <c r="BC38" s="6">
        <f t="shared" si="6"/>
        <v>-1.8099999999994907</v>
      </c>
      <c r="BD38" s="12">
        <f t="shared" si="7"/>
        <v>-2.4999999999977263E-2</v>
      </c>
      <c r="BF38" s="20">
        <f t="shared" si="42"/>
        <v>2.9999999999972715E-2</v>
      </c>
      <c r="BH38">
        <f t="shared" si="8"/>
        <v>47</v>
      </c>
      <c r="BI38">
        <f t="shared" si="9"/>
        <v>-20</v>
      </c>
      <c r="BJ38">
        <f t="shared" si="10"/>
        <v>580</v>
      </c>
      <c r="BK38" s="19">
        <v>-938.11500000000001</v>
      </c>
      <c r="BL38" s="2">
        <f t="shared" si="11"/>
        <v>581.88499999999931</v>
      </c>
      <c r="BM38" s="23">
        <f t="shared" si="12"/>
        <v>-19.94500000000005</v>
      </c>
      <c r="BN38" s="6">
        <f t="shared" si="13"/>
        <v>-1.8849999999993088</v>
      </c>
      <c r="BO38" s="12">
        <f t="shared" si="14"/>
        <v>-5.4999999999949978E-2</v>
      </c>
      <c r="BP38" s="10"/>
      <c r="BQ38" s="35"/>
      <c r="BR38" s="8"/>
      <c r="BS38" s="15">
        <f t="shared" si="15"/>
        <v>93</v>
      </c>
      <c r="BT38" s="15">
        <f t="shared" si="16"/>
        <v>580</v>
      </c>
      <c r="BU38" s="19">
        <v>-938.11500000000001</v>
      </c>
      <c r="BV38" s="12">
        <f t="shared" si="17"/>
        <v>582.37</v>
      </c>
      <c r="BW38" s="12">
        <f t="shared" si="18"/>
        <v>937.63</v>
      </c>
      <c r="BX38" s="12">
        <f t="shared" si="19"/>
        <v>-940</v>
      </c>
      <c r="BY38" s="27">
        <f t="shared" si="20"/>
        <v>-2.3700000000000045</v>
      </c>
      <c r="BZ38" s="30">
        <f t="shared" si="21"/>
        <v>94</v>
      </c>
      <c r="CA38" s="30">
        <v>0</v>
      </c>
      <c r="CB38">
        <v>-0.48499999999999999</v>
      </c>
      <c r="CC38" s="40">
        <f t="shared" si="22"/>
        <v>937.63</v>
      </c>
      <c r="CD38" s="40">
        <f t="shared" si="23"/>
        <v>-2.3700000000000045</v>
      </c>
      <c r="CE38" s="40">
        <f t="shared" si="24"/>
        <v>940</v>
      </c>
      <c r="CF38" s="6"/>
      <c r="CG38" s="20">
        <f t="shared" si="43"/>
        <v>0.12999999999999545</v>
      </c>
      <c r="CH38" s="10"/>
      <c r="CI38" s="15">
        <f t="shared" si="25"/>
        <v>93</v>
      </c>
      <c r="CJ38" s="15">
        <f t="shared" si="26"/>
        <v>580</v>
      </c>
      <c r="CK38" s="19">
        <v>-938.245</v>
      </c>
      <c r="CL38" s="12">
        <f t="shared" si="27"/>
        <v>582.29</v>
      </c>
      <c r="CM38" s="12">
        <f t="shared" si="28"/>
        <v>937.71</v>
      </c>
      <c r="CN38" s="12">
        <f t="shared" si="29"/>
        <v>-940</v>
      </c>
      <c r="CO38" s="27">
        <f t="shared" si="30"/>
        <v>-2.2899999999999636</v>
      </c>
      <c r="CP38" s="30">
        <f t="shared" si="31"/>
        <v>94</v>
      </c>
      <c r="CQ38" s="30">
        <v>0</v>
      </c>
      <c r="CR38">
        <v>-0.55000000000000004</v>
      </c>
      <c r="CS38" s="40">
        <f t="shared" si="32"/>
        <v>937.69500000000005</v>
      </c>
      <c r="CT38" s="40">
        <f t="shared" si="33"/>
        <v>-2.30499999999995</v>
      </c>
      <c r="CU38" s="40">
        <f t="shared" si="34"/>
        <v>940</v>
      </c>
      <c r="DB38" s="2"/>
      <c r="DC38" s="2"/>
      <c r="DD38" s="2"/>
      <c r="DE38" s="6"/>
      <c r="DF38" s="12"/>
      <c r="DG38" s="10"/>
    </row>
    <row r="39" spans="2:111" x14ac:dyDescent="0.45">
      <c r="B39">
        <f t="shared" si="44"/>
        <v>31</v>
      </c>
      <c r="C39">
        <v>20</v>
      </c>
      <c r="D39">
        <f t="shared" si="45"/>
        <v>620</v>
      </c>
      <c r="E39" s="19">
        <v>620.14499999999998</v>
      </c>
      <c r="F39" s="23">
        <f t="shared" si="46"/>
        <v>19.909999999999968</v>
      </c>
      <c r="G39" s="6">
        <f t="shared" si="35"/>
        <v>0.14499999999998181</v>
      </c>
      <c r="H39" s="12">
        <f t="shared" si="47"/>
        <v>-9.0000000000031832E-2</v>
      </c>
      <c r="J39" s="20">
        <f t="shared" si="0"/>
        <v>-4.9999999999954525E-3</v>
      </c>
      <c r="K39" s="2"/>
      <c r="L39">
        <f t="shared" ref="L39" si="89">L38+1</f>
        <v>31</v>
      </c>
      <c r="M39">
        <v>20</v>
      </c>
      <c r="N39">
        <f t="shared" si="49"/>
        <v>620</v>
      </c>
      <c r="O39" s="19">
        <v>620.03499999999997</v>
      </c>
      <c r="P39" s="23">
        <f t="shared" si="50"/>
        <v>19.904999999999973</v>
      </c>
      <c r="Q39" s="6">
        <f t="shared" si="36"/>
        <v>3.4999999999968168E-2</v>
      </c>
      <c r="R39" s="27">
        <f t="shared" si="51"/>
        <v>-9.5000000000027285E-2</v>
      </c>
      <c r="S39" s="19"/>
      <c r="T39" s="35"/>
      <c r="U39" s="19"/>
      <c r="V39" s="15">
        <f t="shared" si="52"/>
        <v>61</v>
      </c>
      <c r="W39" s="15">
        <f t="shared" si="53"/>
        <v>620</v>
      </c>
      <c r="X39" s="19">
        <v>620.01499999999999</v>
      </c>
      <c r="Y39" s="12">
        <f t="shared" si="54"/>
        <v>619.60500000000002</v>
      </c>
      <c r="Z39" s="27">
        <f t="shared" si="55"/>
        <v>-0.39499999999998181</v>
      </c>
      <c r="AA39" s="30">
        <f t="shared" si="56"/>
        <v>62</v>
      </c>
      <c r="AB39" s="30">
        <v>0</v>
      </c>
      <c r="AC39" s="19">
        <v>0.40500000000000003</v>
      </c>
      <c r="AD39" s="28">
        <f t="shared" si="37"/>
        <v>619.61</v>
      </c>
      <c r="AE39" s="29">
        <f t="shared" si="38"/>
        <v>-0.38999999999998636</v>
      </c>
      <c r="AF39" s="19"/>
      <c r="AG39" s="20">
        <f t="shared" si="39"/>
        <v>0.15999999999996817</v>
      </c>
      <c r="AI39" s="15">
        <f t="shared" si="57"/>
        <v>61</v>
      </c>
      <c r="AJ39" s="15">
        <f t="shared" si="58"/>
        <v>620</v>
      </c>
      <c r="AK39" s="19">
        <v>620.17499999999995</v>
      </c>
      <c r="AL39" s="12">
        <f t="shared" si="59"/>
        <v>619.63</v>
      </c>
      <c r="AM39" s="27">
        <f t="shared" si="60"/>
        <v>-0.37000000000000455</v>
      </c>
      <c r="AN39" s="30">
        <f t="shared" si="61"/>
        <v>62</v>
      </c>
      <c r="AO39" s="30">
        <v>0</v>
      </c>
      <c r="AP39" s="19">
        <v>0.54500000000000004</v>
      </c>
      <c r="AQ39" s="28">
        <f t="shared" si="40"/>
        <v>619.63</v>
      </c>
      <c r="AR39" s="29">
        <f t="shared" si="41"/>
        <v>-0.37000000000000455</v>
      </c>
      <c r="AT39" s="36"/>
      <c r="AU39" s="36"/>
      <c r="AW39">
        <f t="shared" si="1"/>
        <v>46</v>
      </c>
      <c r="AX39">
        <f t="shared" si="2"/>
        <v>-20</v>
      </c>
      <c r="AY39">
        <f t="shared" si="3"/>
        <v>600</v>
      </c>
      <c r="AZ39" s="19">
        <v>-918.21500000000003</v>
      </c>
      <c r="BA39" s="2">
        <f t="shared" si="4"/>
        <v>601.78499999999951</v>
      </c>
      <c r="BB39" s="23">
        <f t="shared" si="5"/>
        <v>-19.920000000000073</v>
      </c>
      <c r="BC39" s="6">
        <f t="shared" si="6"/>
        <v>-1.7849999999995134</v>
      </c>
      <c r="BD39" s="12">
        <f t="shared" si="7"/>
        <v>-7.999999999992724E-2</v>
      </c>
      <c r="BF39" s="20">
        <f t="shared" si="42"/>
        <v>-4.9999999998817657E-3</v>
      </c>
      <c r="BH39">
        <f t="shared" si="8"/>
        <v>46</v>
      </c>
      <c r="BI39">
        <f t="shared" si="9"/>
        <v>-20</v>
      </c>
      <c r="BJ39">
        <f t="shared" si="10"/>
        <v>600</v>
      </c>
      <c r="BK39" s="19">
        <v>-918.17</v>
      </c>
      <c r="BL39" s="2">
        <f t="shared" si="11"/>
        <v>601.82999999999936</v>
      </c>
      <c r="BM39" s="23">
        <f t="shared" si="12"/>
        <v>-19.924999999999955</v>
      </c>
      <c r="BN39" s="6">
        <f t="shared" si="13"/>
        <v>-1.8299999999993588</v>
      </c>
      <c r="BO39" s="12">
        <f t="shared" si="14"/>
        <v>-7.5000000000045475E-2</v>
      </c>
      <c r="BP39" s="10"/>
      <c r="BQ39" s="35"/>
      <c r="BR39" s="8"/>
      <c r="BS39" s="15">
        <f t="shared" si="15"/>
        <v>91</v>
      </c>
      <c r="BT39" s="15">
        <f t="shared" si="16"/>
        <v>600</v>
      </c>
      <c r="BU39" s="19">
        <v>-918.17</v>
      </c>
      <c r="BV39" s="12">
        <f t="shared" si="17"/>
        <v>602.31500000000005</v>
      </c>
      <c r="BW39" s="12">
        <f t="shared" si="18"/>
        <v>917.68499999999995</v>
      </c>
      <c r="BX39" s="12">
        <f t="shared" si="19"/>
        <v>-920</v>
      </c>
      <c r="BY39" s="27">
        <f t="shared" si="20"/>
        <v>-2.3150000000000546</v>
      </c>
      <c r="BZ39" s="30">
        <f t="shared" si="21"/>
        <v>92</v>
      </c>
      <c r="CA39" s="30">
        <v>0</v>
      </c>
      <c r="CB39">
        <v>-0.48499999999999999</v>
      </c>
      <c r="CC39" s="40">
        <f t="shared" si="22"/>
        <v>917.68499999999995</v>
      </c>
      <c r="CD39" s="40">
        <f t="shared" si="23"/>
        <v>-2.3150000000000546</v>
      </c>
      <c r="CE39" s="40">
        <f t="shared" si="24"/>
        <v>920</v>
      </c>
      <c r="CF39" s="6"/>
      <c r="CG39" s="20">
        <f t="shared" si="43"/>
        <v>0.1450000000000955</v>
      </c>
      <c r="CH39" s="10"/>
      <c r="CI39" s="15">
        <f t="shared" si="25"/>
        <v>91</v>
      </c>
      <c r="CJ39" s="15">
        <f t="shared" si="26"/>
        <v>600</v>
      </c>
      <c r="CK39" s="19">
        <v>-918.31500000000005</v>
      </c>
      <c r="CL39" s="12">
        <f t="shared" si="27"/>
        <v>602.22499999999991</v>
      </c>
      <c r="CM39" s="12">
        <f t="shared" si="28"/>
        <v>917.77500000000009</v>
      </c>
      <c r="CN39" s="12">
        <f t="shared" si="29"/>
        <v>-920</v>
      </c>
      <c r="CO39" s="27">
        <f t="shared" si="30"/>
        <v>-2.2249999999999091</v>
      </c>
      <c r="CP39" s="30">
        <f t="shared" si="31"/>
        <v>92</v>
      </c>
      <c r="CQ39" s="30">
        <v>0</v>
      </c>
      <c r="CR39">
        <v>-0.53500000000000003</v>
      </c>
      <c r="CS39" s="40">
        <f t="shared" si="32"/>
        <v>917.78000000000009</v>
      </c>
      <c r="CT39" s="40">
        <f t="shared" si="33"/>
        <v>-2.2199999999999136</v>
      </c>
      <c r="CU39" s="40">
        <f t="shared" si="34"/>
        <v>920</v>
      </c>
      <c r="DB39" s="19"/>
      <c r="DC39" s="2"/>
      <c r="DD39" s="2"/>
      <c r="DE39" s="6"/>
      <c r="DF39" s="12"/>
      <c r="DG39" s="10"/>
    </row>
    <row r="40" spans="2:111" x14ac:dyDescent="0.45">
      <c r="B40">
        <f t="shared" si="44"/>
        <v>32</v>
      </c>
      <c r="C40">
        <v>20</v>
      </c>
      <c r="D40">
        <f t="shared" si="45"/>
        <v>640</v>
      </c>
      <c r="E40" s="19">
        <v>640.05499999999995</v>
      </c>
      <c r="F40" s="23">
        <f t="shared" si="46"/>
        <v>19.909999999999968</v>
      </c>
      <c r="G40" s="6">
        <f t="shared" si="35"/>
        <v>5.4999999999949978E-2</v>
      </c>
      <c r="H40" s="12">
        <f t="shared" si="47"/>
        <v>-9.0000000000031832E-2</v>
      </c>
      <c r="J40" s="20">
        <f t="shared" si="0"/>
        <v>-1.4999999999986358E-2</v>
      </c>
      <c r="K40" s="2"/>
      <c r="L40">
        <f t="shared" ref="L40" si="90">L39+1</f>
        <v>32</v>
      </c>
      <c r="M40">
        <v>20</v>
      </c>
      <c r="N40">
        <f t="shared" si="49"/>
        <v>640</v>
      </c>
      <c r="O40" s="19">
        <v>639.92999999999995</v>
      </c>
      <c r="P40" s="23">
        <f t="shared" si="50"/>
        <v>19.894999999999982</v>
      </c>
      <c r="Q40" s="6">
        <f t="shared" si="36"/>
        <v>-7.0000000000050022E-2</v>
      </c>
      <c r="R40" s="27">
        <f t="shared" si="51"/>
        <v>-0.10500000000001819</v>
      </c>
      <c r="S40" s="19"/>
      <c r="T40" s="35"/>
      <c r="U40" s="19"/>
      <c r="V40" s="15">
        <f t="shared" si="52"/>
        <v>63</v>
      </c>
      <c r="W40" s="15">
        <f t="shared" si="53"/>
        <v>640</v>
      </c>
      <c r="X40" s="19">
        <v>639.88</v>
      </c>
      <c r="Y40" s="12">
        <f t="shared" si="54"/>
        <v>639.47500000000002</v>
      </c>
      <c r="Z40" s="27">
        <f t="shared" si="55"/>
        <v>-0.52499999999997726</v>
      </c>
      <c r="AA40" s="30">
        <f t="shared" si="56"/>
        <v>64</v>
      </c>
      <c r="AB40" s="30">
        <v>0</v>
      </c>
      <c r="AC40" s="19">
        <v>0.41499999999999998</v>
      </c>
      <c r="AD40" s="28">
        <f t="shared" si="37"/>
        <v>639.46500000000003</v>
      </c>
      <c r="AE40" s="29">
        <f t="shared" si="38"/>
        <v>-0.53499999999996817</v>
      </c>
      <c r="AF40" s="19"/>
      <c r="AG40" s="20">
        <f t="shared" si="39"/>
        <v>0.19000000000005457</v>
      </c>
      <c r="AI40" s="15">
        <f t="shared" si="57"/>
        <v>63</v>
      </c>
      <c r="AJ40" s="15">
        <f t="shared" si="58"/>
        <v>640</v>
      </c>
      <c r="AK40" s="19">
        <v>640.07000000000005</v>
      </c>
      <c r="AL40" s="12">
        <f t="shared" si="59"/>
        <v>639.52500000000009</v>
      </c>
      <c r="AM40" s="27">
        <f t="shared" si="60"/>
        <v>-0.47499999999990905</v>
      </c>
      <c r="AN40" s="30">
        <f t="shared" si="61"/>
        <v>64</v>
      </c>
      <c r="AO40" s="30">
        <v>0</v>
      </c>
      <c r="AP40" s="19">
        <v>0.54</v>
      </c>
      <c r="AQ40" s="28">
        <f t="shared" si="40"/>
        <v>639.53000000000009</v>
      </c>
      <c r="AR40" s="29">
        <f t="shared" si="41"/>
        <v>-0.4699999999999136</v>
      </c>
      <c r="AT40" s="36"/>
      <c r="AU40" s="36"/>
      <c r="AW40">
        <f t="shared" si="1"/>
        <v>45</v>
      </c>
      <c r="AX40">
        <f t="shared" si="2"/>
        <v>-20</v>
      </c>
      <c r="AY40">
        <f t="shared" si="3"/>
        <v>620</v>
      </c>
      <c r="AZ40" s="19">
        <v>-898.29499999999996</v>
      </c>
      <c r="BA40" s="2">
        <f t="shared" si="4"/>
        <v>621.70499999999959</v>
      </c>
      <c r="BB40" s="23">
        <f t="shared" si="5"/>
        <v>-19.865000000000009</v>
      </c>
      <c r="BC40" s="6">
        <f t="shared" si="6"/>
        <v>-1.7049999999995862</v>
      </c>
      <c r="BD40" s="12">
        <f t="shared" si="7"/>
        <v>-0.13499999999999091</v>
      </c>
      <c r="BF40" s="20">
        <f t="shared" si="42"/>
        <v>6.0000000000059117E-2</v>
      </c>
      <c r="BH40">
        <f t="shared" si="8"/>
        <v>45</v>
      </c>
      <c r="BI40">
        <f t="shared" si="9"/>
        <v>-20</v>
      </c>
      <c r="BJ40">
        <f t="shared" si="10"/>
        <v>620</v>
      </c>
      <c r="BK40" s="19">
        <v>-898.245</v>
      </c>
      <c r="BL40" s="2">
        <f t="shared" si="11"/>
        <v>621.75499999999931</v>
      </c>
      <c r="BM40" s="23">
        <f t="shared" si="12"/>
        <v>-19.80499999999995</v>
      </c>
      <c r="BN40" s="6">
        <f t="shared" si="13"/>
        <v>-1.7549999999993133</v>
      </c>
      <c r="BO40" s="12">
        <f t="shared" si="14"/>
        <v>-0.19500000000005002</v>
      </c>
      <c r="BP40" s="10"/>
      <c r="BQ40" s="35"/>
      <c r="BR40" s="8"/>
      <c r="BS40" s="15">
        <f t="shared" si="15"/>
        <v>89</v>
      </c>
      <c r="BT40" s="15">
        <f t="shared" si="16"/>
        <v>620</v>
      </c>
      <c r="BU40" s="19">
        <v>-898.245</v>
      </c>
      <c r="BV40" s="12">
        <f t="shared" si="17"/>
        <v>622.23500000000001</v>
      </c>
      <c r="BW40" s="12">
        <f t="shared" si="18"/>
        <v>897.76499999999999</v>
      </c>
      <c r="BX40" s="12">
        <f t="shared" si="19"/>
        <v>-900</v>
      </c>
      <c r="BY40" s="27">
        <f t="shared" si="20"/>
        <v>-2.2350000000000136</v>
      </c>
      <c r="BZ40" s="30">
        <f t="shared" si="21"/>
        <v>90</v>
      </c>
      <c r="CA40" s="30">
        <v>0</v>
      </c>
      <c r="CB40">
        <v>-0.48499999999999999</v>
      </c>
      <c r="CC40" s="40">
        <f t="shared" si="22"/>
        <v>897.76</v>
      </c>
      <c r="CD40" s="40">
        <f t="shared" si="23"/>
        <v>-2.2400000000000091</v>
      </c>
      <c r="CE40" s="40">
        <f t="shared" si="24"/>
        <v>900</v>
      </c>
      <c r="CF40" s="6"/>
      <c r="CG40" s="20">
        <f t="shared" si="43"/>
        <v>0.16999999999995907</v>
      </c>
      <c r="CH40" s="10"/>
      <c r="CI40" s="15">
        <f t="shared" si="25"/>
        <v>89</v>
      </c>
      <c r="CJ40" s="15">
        <f t="shared" si="26"/>
        <v>620</v>
      </c>
      <c r="CK40" s="19">
        <v>-898.41499999999996</v>
      </c>
      <c r="CL40" s="12">
        <f t="shared" si="27"/>
        <v>622.12</v>
      </c>
      <c r="CM40" s="12">
        <f t="shared" si="28"/>
        <v>897.88</v>
      </c>
      <c r="CN40" s="12">
        <f t="shared" si="29"/>
        <v>-900</v>
      </c>
      <c r="CO40" s="27">
        <f t="shared" si="30"/>
        <v>-2.1200000000000045</v>
      </c>
      <c r="CP40" s="30">
        <f t="shared" si="31"/>
        <v>90</v>
      </c>
      <c r="CQ40" s="30">
        <v>0</v>
      </c>
      <c r="CR40">
        <v>-0.54</v>
      </c>
      <c r="CS40" s="40">
        <f t="shared" si="32"/>
        <v>897.875</v>
      </c>
      <c r="CT40" s="40">
        <f t="shared" si="33"/>
        <v>-2.125</v>
      </c>
      <c r="CU40" s="40">
        <f t="shared" si="34"/>
        <v>900</v>
      </c>
      <c r="DB40" s="19"/>
      <c r="DC40" s="2"/>
      <c r="DD40" s="2"/>
      <c r="DE40" s="6"/>
      <c r="DF40" s="12"/>
      <c r="DG40" s="10"/>
    </row>
    <row r="41" spans="2:111" x14ac:dyDescent="0.45">
      <c r="B41">
        <f t="shared" si="44"/>
        <v>33</v>
      </c>
      <c r="C41">
        <v>20</v>
      </c>
      <c r="D41">
        <f t="shared" si="45"/>
        <v>660</v>
      </c>
      <c r="E41" s="19">
        <v>659.97</v>
      </c>
      <c r="F41" s="23">
        <f t="shared" si="46"/>
        <v>19.915000000000077</v>
      </c>
      <c r="G41" s="6">
        <f t="shared" si="35"/>
        <v>-2.9999999999972715E-2</v>
      </c>
      <c r="H41" s="12">
        <f t="shared" si="47"/>
        <v>-8.4999999999922693E-2</v>
      </c>
      <c r="J41" s="20">
        <f t="shared" ref="J41:J72" si="91">R41-H41</f>
        <v>0</v>
      </c>
      <c r="K41" s="2"/>
      <c r="L41">
        <f t="shared" ref="L41" si="92">L40+1</f>
        <v>33</v>
      </c>
      <c r="M41">
        <v>20</v>
      </c>
      <c r="N41">
        <f t="shared" si="49"/>
        <v>660</v>
      </c>
      <c r="O41" s="19">
        <v>659.84500000000003</v>
      </c>
      <c r="P41" s="23">
        <f t="shared" si="50"/>
        <v>19.915000000000077</v>
      </c>
      <c r="Q41" s="6">
        <f t="shared" si="36"/>
        <v>-0.15499999999997272</v>
      </c>
      <c r="R41" s="27">
        <f t="shared" si="51"/>
        <v>-8.4999999999922693E-2</v>
      </c>
      <c r="S41" s="19"/>
      <c r="T41" s="35"/>
      <c r="U41" s="19"/>
      <c r="V41" s="15">
        <f t="shared" si="52"/>
        <v>65</v>
      </c>
      <c r="W41" s="15">
        <f t="shared" si="53"/>
        <v>660</v>
      </c>
      <c r="X41" s="19">
        <v>659.78499999999997</v>
      </c>
      <c r="Y41" s="12">
        <f t="shared" si="54"/>
        <v>659.37</v>
      </c>
      <c r="Z41" s="27">
        <f t="shared" si="55"/>
        <v>-0.62999999999999545</v>
      </c>
      <c r="AA41" s="30">
        <f t="shared" si="56"/>
        <v>66</v>
      </c>
      <c r="AB41" s="30">
        <v>0</v>
      </c>
      <c r="AC41" s="19">
        <v>0.41</v>
      </c>
      <c r="AD41" s="28">
        <f t="shared" si="37"/>
        <v>659.375</v>
      </c>
      <c r="AE41" s="29">
        <f t="shared" si="38"/>
        <v>-0.625</v>
      </c>
      <c r="AF41" s="19"/>
      <c r="AG41" s="20">
        <f t="shared" si="39"/>
        <v>0.20500000000004093</v>
      </c>
      <c r="AI41" s="15">
        <f t="shared" si="57"/>
        <v>65</v>
      </c>
      <c r="AJ41" s="15">
        <f t="shared" si="58"/>
        <v>660</v>
      </c>
      <c r="AK41" s="19">
        <v>659.99</v>
      </c>
      <c r="AL41" s="12">
        <f t="shared" si="59"/>
        <v>659.45</v>
      </c>
      <c r="AM41" s="27">
        <f t="shared" si="60"/>
        <v>-0.54999999999995453</v>
      </c>
      <c r="AN41" s="30">
        <f t="shared" si="61"/>
        <v>66</v>
      </c>
      <c r="AO41" s="30">
        <v>0</v>
      </c>
      <c r="AP41" s="19">
        <v>0.54</v>
      </c>
      <c r="AQ41" s="28">
        <f t="shared" si="40"/>
        <v>659.45</v>
      </c>
      <c r="AR41" s="29">
        <f t="shared" si="41"/>
        <v>-0.54999999999995453</v>
      </c>
      <c r="AT41" s="36"/>
      <c r="AU41" s="36"/>
      <c r="AW41">
        <f t="shared" si="1"/>
        <v>44</v>
      </c>
      <c r="AX41">
        <f t="shared" si="2"/>
        <v>-20</v>
      </c>
      <c r="AY41">
        <f t="shared" si="3"/>
        <v>640</v>
      </c>
      <c r="AZ41" s="19">
        <v>-878.43</v>
      </c>
      <c r="BA41" s="2">
        <f t="shared" si="4"/>
        <v>641.5699999999996</v>
      </c>
      <c r="BB41" s="23">
        <f t="shared" si="5"/>
        <v>-19.92999999999995</v>
      </c>
      <c r="BC41" s="6">
        <f t="shared" si="6"/>
        <v>-1.5699999999995953</v>
      </c>
      <c r="BD41" s="12">
        <f t="shared" si="7"/>
        <v>-7.0000000000050022E-2</v>
      </c>
      <c r="BF41" s="20">
        <f t="shared" si="42"/>
        <v>-4.500000000007276E-2</v>
      </c>
      <c r="BH41">
        <f t="shared" si="8"/>
        <v>44</v>
      </c>
      <c r="BI41">
        <f t="shared" si="9"/>
        <v>-20</v>
      </c>
      <c r="BJ41">
        <f t="shared" si="10"/>
        <v>640</v>
      </c>
      <c r="BK41" s="19">
        <v>-878.44</v>
      </c>
      <c r="BL41" s="2">
        <f t="shared" si="11"/>
        <v>641.55999999999926</v>
      </c>
      <c r="BM41" s="23">
        <f t="shared" si="12"/>
        <v>-19.975000000000023</v>
      </c>
      <c r="BN41" s="6">
        <f t="shared" si="13"/>
        <v>-1.5599999999992633</v>
      </c>
      <c r="BO41" s="12">
        <f t="shared" si="14"/>
        <v>-2.4999999999977263E-2</v>
      </c>
      <c r="BP41" s="10"/>
      <c r="BQ41" s="35"/>
      <c r="BR41" s="8"/>
      <c r="BS41" s="15">
        <f t="shared" si="15"/>
        <v>87</v>
      </c>
      <c r="BT41" s="15">
        <f t="shared" si="16"/>
        <v>640</v>
      </c>
      <c r="BU41" s="19">
        <v>-878.44</v>
      </c>
      <c r="BV41" s="12">
        <f t="shared" si="17"/>
        <v>642.04</v>
      </c>
      <c r="BW41" s="12">
        <f t="shared" si="18"/>
        <v>877.96</v>
      </c>
      <c r="BX41" s="12">
        <f t="shared" si="19"/>
        <v>-880</v>
      </c>
      <c r="BY41" s="27">
        <f t="shared" si="20"/>
        <v>-2.0399999999999636</v>
      </c>
      <c r="BZ41" s="30">
        <f t="shared" si="21"/>
        <v>88</v>
      </c>
      <c r="CA41" s="30">
        <v>0</v>
      </c>
      <c r="CB41">
        <v>-0.48</v>
      </c>
      <c r="CC41" s="40">
        <f t="shared" si="22"/>
        <v>877.96</v>
      </c>
      <c r="CD41" s="40">
        <f t="shared" si="23"/>
        <v>-2.0399999999999636</v>
      </c>
      <c r="CE41" s="40">
        <f t="shared" si="24"/>
        <v>880</v>
      </c>
      <c r="CF41" s="6"/>
      <c r="CG41" s="20">
        <f t="shared" si="43"/>
        <v>7.999999999992724E-2</v>
      </c>
      <c r="CH41" s="10"/>
      <c r="CI41" s="15">
        <f t="shared" si="25"/>
        <v>87</v>
      </c>
      <c r="CJ41" s="15">
        <f t="shared" si="26"/>
        <v>640</v>
      </c>
      <c r="CK41" s="19">
        <v>-878.52</v>
      </c>
      <c r="CL41" s="12">
        <f t="shared" si="27"/>
        <v>642.01499999999999</v>
      </c>
      <c r="CM41" s="12">
        <f t="shared" si="28"/>
        <v>877.98500000000001</v>
      </c>
      <c r="CN41" s="12">
        <f t="shared" si="29"/>
        <v>-880</v>
      </c>
      <c r="CO41" s="27">
        <f t="shared" si="30"/>
        <v>-2.0149999999999864</v>
      </c>
      <c r="CP41" s="30">
        <f t="shared" si="31"/>
        <v>88</v>
      </c>
      <c r="CQ41" s="30">
        <v>0</v>
      </c>
      <c r="CR41">
        <v>-0.53500000000000003</v>
      </c>
      <c r="CS41" s="40">
        <f t="shared" si="32"/>
        <v>877.98500000000001</v>
      </c>
      <c r="CT41" s="40">
        <f t="shared" si="33"/>
        <v>-2.0149999999999864</v>
      </c>
      <c r="CU41" s="40">
        <f t="shared" si="34"/>
        <v>880</v>
      </c>
      <c r="DB41" s="19"/>
      <c r="DC41" s="2"/>
      <c r="DD41" s="2"/>
      <c r="DE41" s="6"/>
      <c r="DF41" s="12"/>
      <c r="DG41" s="10"/>
    </row>
    <row r="42" spans="2:111" x14ac:dyDescent="0.45">
      <c r="B42">
        <f t="shared" si="44"/>
        <v>34</v>
      </c>
      <c r="C42">
        <v>20</v>
      </c>
      <c r="D42">
        <f t="shared" si="45"/>
        <v>680</v>
      </c>
      <c r="E42" s="19">
        <v>679.90499999999997</v>
      </c>
      <c r="F42" s="23">
        <f t="shared" si="46"/>
        <v>19.934999999999945</v>
      </c>
      <c r="G42" s="6">
        <f t="shared" si="35"/>
        <v>-9.5000000000027285E-2</v>
      </c>
      <c r="H42" s="12">
        <f t="shared" si="47"/>
        <v>-6.500000000005457E-2</v>
      </c>
      <c r="J42" s="20">
        <f t="shared" si="91"/>
        <v>-2.9999999999972715E-2</v>
      </c>
      <c r="K42" s="2"/>
      <c r="L42">
        <f t="shared" ref="L42" si="93">L41+1</f>
        <v>34</v>
      </c>
      <c r="M42">
        <v>20</v>
      </c>
      <c r="N42">
        <f t="shared" si="49"/>
        <v>680</v>
      </c>
      <c r="O42" s="19">
        <v>679.75</v>
      </c>
      <c r="P42" s="23">
        <f t="shared" si="50"/>
        <v>19.904999999999973</v>
      </c>
      <c r="Q42" s="6">
        <f t="shared" si="36"/>
        <v>-0.25</v>
      </c>
      <c r="R42" s="27">
        <f t="shared" si="51"/>
        <v>-9.5000000000027285E-2</v>
      </c>
      <c r="S42" s="19"/>
      <c r="T42" s="35"/>
      <c r="U42" s="19"/>
      <c r="V42" s="15">
        <f t="shared" si="52"/>
        <v>67</v>
      </c>
      <c r="W42" s="15">
        <f t="shared" si="53"/>
        <v>680</v>
      </c>
      <c r="X42" s="19">
        <v>679.745</v>
      </c>
      <c r="Y42" s="12">
        <f t="shared" si="54"/>
        <v>679.33500000000004</v>
      </c>
      <c r="Z42" s="27">
        <f t="shared" si="55"/>
        <v>-0.66499999999996362</v>
      </c>
      <c r="AA42" s="30">
        <f t="shared" si="56"/>
        <v>68</v>
      </c>
      <c r="AB42" s="30">
        <v>0</v>
      </c>
      <c r="AC42" s="19">
        <v>0.41</v>
      </c>
      <c r="AD42" s="28">
        <f t="shared" si="37"/>
        <v>679.33500000000004</v>
      </c>
      <c r="AE42" s="29">
        <f t="shared" si="38"/>
        <v>-0.66499999999996362</v>
      </c>
      <c r="AF42" s="19"/>
      <c r="AG42" s="20">
        <f t="shared" si="39"/>
        <v>0.15499999999997272</v>
      </c>
      <c r="AI42" s="15">
        <f t="shared" si="57"/>
        <v>67</v>
      </c>
      <c r="AJ42" s="15">
        <f t="shared" si="58"/>
        <v>680</v>
      </c>
      <c r="AK42" s="19">
        <v>679.9</v>
      </c>
      <c r="AL42" s="12">
        <f t="shared" si="59"/>
        <v>679.36</v>
      </c>
      <c r="AM42" s="27">
        <f t="shared" si="60"/>
        <v>-0.63999999999998636</v>
      </c>
      <c r="AN42" s="30">
        <f t="shared" si="61"/>
        <v>68</v>
      </c>
      <c r="AO42" s="30">
        <v>0</v>
      </c>
      <c r="AP42" s="19">
        <v>0.54500000000000004</v>
      </c>
      <c r="AQ42" s="28">
        <f t="shared" si="40"/>
        <v>679.35500000000002</v>
      </c>
      <c r="AR42" s="29">
        <f t="shared" si="41"/>
        <v>-0.64499999999998181</v>
      </c>
      <c r="AT42" s="36"/>
      <c r="AU42" s="36"/>
      <c r="AW42">
        <f t="shared" si="1"/>
        <v>43</v>
      </c>
      <c r="AX42">
        <f t="shared" si="2"/>
        <v>-20</v>
      </c>
      <c r="AY42">
        <f t="shared" si="3"/>
        <v>660</v>
      </c>
      <c r="AZ42" s="19">
        <v>-858.5</v>
      </c>
      <c r="BA42" s="2">
        <f t="shared" si="4"/>
        <v>661.49999999999955</v>
      </c>
      <c r="BB42" s="23">
        <f t="shared" si="5"/>
        <v>-19.970000000000027</v>
      </c>
      <c r="BC42" s="6">
        <f t="shared" si="6"/>
        <v>-1.4999999999995453</v>
      </c>
      <c r="BD42" s="12">
        <f t="shared" si="7"/>
        <v>-2.9999999999972715E-2</v>
      </c>
      <c r="BF42" s="20">
        <f t="shared" si="42"/>
        <v>9.9999999999909051E-3</v>
      </c>
      <c r="BH42">
        <f t="shared" si="8"/>
        <v>43</v>
      </c>
      <c r="BI42">
        <f t="shared" si="9"/>
        <v>-20</v>
      </c>
      <c r="BJ42">
        <f t="shared" si="10"/>
        <v>660</v>
      </c>
      <c r="BK42" s="19">
        <v>-858.46500000000003</v>
      </c>
      <c r="BL42" s="2">
        <f t="shared" si="11"/>
        <v>661.53499999999929</v>
      </c>
      <c r="BM42" s="23">
        <f t="shared" si="12"/>
        <v>-19.960000000000036</v>
      </c>
      <c r="BN42" s="6">
        <f t="shared" si="13"/>
        <v>-1.534999999999286</v>
      </c>
      <c r="BO42" s="12">
        <f t="shared" si="14"/>
        <v>-3.999999999996362E-2</v>
      </c>
      <c r="BP42" s="10"/>
      <c r="BQ42" s="35"/>
      <c r="BR42" s="8"/>
      <c r="BS42" s="15">
        <f t="shared" si="15"/>
        <v>85</v>
      </c>
      <c r="BT42" s="15">
        <f t="shared" si="16"/>
        <v>660</v>
      </c>
      <c r="BU42" s="19">
        <v>-858.46500000000003</v>
      </c>
      <c r="BV42" s="12">
        <f t="shared" si="17"/>
        <v>662.02</v>
      </c>
      <c r="BW42" s="12">
        <f t="shared" si="18"/>
        <v>857.98</v>
      </c>
      <c r="BX42" s="12">
        <f t="shared" si="19"/>
        <v>-860</v>
      </c>
      <c r="BY42" s="27">
        <f t="shared" si="20"/>
        <v>-2.0199999999999818</v>
      </c>
      <c r="BZ42" s="30">
        <f t="shared" si="21"/>
        <v>86</v>
      </c>
      <c r="CA42" s="30">
        <v>0</v>
      </c>
      <c r="CB42">
        <v>-0.48</v>
      </c>
      <c r="CC42" s="40">
        <f t="shared" si="22"/>
        <v>857.98500000000001</v>
      </c>
      <c r="CD42" s="40">
        <f t="shared" si="23"/>
        <v>-2.0149999999999864</v>
      </c>
      <c r="CE42" s="40">
        <f t="shared" si="24"/>
        <v>860</v>
      </c>
      <c r="CF42" s="6"/>
      <c r="CG42" s="20">
        <f t="shared" si="43"/>
        <v>0.14499999999998181</v>
      </c>
      <c r="CH42" s="10"/>
      <c r="CI42" s="15">
        <f t="shared" si="25"/>
        <v>85</v>
      </c>
      <c r="CJ42" s="15">
        <f t="shared" si="26"/>
        <v>660</v>
      </c>
      <c r="CK42" s="19">
        <v>-858.61</v>
      </c>
      <c r="CL42" s="12">
        <f t="shared" si="27"/>
        <v>661.91499999999996</v>
      </c>
      <c r="CM42" s="12">
        <f t="shared" si="28"/>
        <v>858.08500000000004</v>
      </c>
      <c r="CN42" s="12">
        <f t="shared" si="29"/>
        <v>-860</v>
      </c>
      <c r="CO42" s="27">
        <f t="shared" si="30"/>
        <v>-1.9149999999999636</v>
      </c>
      <c r="CP42" s="30">
        <f t="shared" si="31"/>
        <v>86</v>
      </c>
      <c r="CQ42" s="30">
        <v>0</v>
      </c>
      <c r="CR42">
        <v>-0.53500000000000003</v>
      </c>
      <c r="CS42" s="40">
        <f t="shared" si="32"/>
        <v>858.07500000000005</v>
      </c>
      <c r="CT42" s="40">
        <f t="shared" si="33"/>
        <v>-1.9249999999999545</v>
      </c>
      <c r="CU42" s="40">
        <f t="shared" si="34"/>
        <v>860</v>
      </c>
      <c r="DB42" s="19"/>
      <c r="DC42" s="2"/>
      <c r="DD42" s="2"/>
      <c r="DE42" s="6"/>
      <c r="DF42" s="12"/>
      <c r="DG42" s="10"/>
    </row>
    <row r="43" spans="2:111" x14ac:dyDescent="0.45">
      <c r="B43">
        <f t="shared" si="44"/>
        <v>35</v>
      </c>
      <c r="C43">
        <v>20</v>
      </c>
      <c r="D43">
        <f t="shared" si="45"/>
        <v>700</v>
      </c>
      <c r="E43" s="19">
        <v>699.90499999999997</v>
      </c>
      <c r="F43" s="23">
        <f t="shared" si="46"/>
        <v>20</v>
      </c>
      <c r="G43" s="6">
        <f t="shared" si="35"/>
        <v>-9.5000000000027285E-2</v>
      </c>
      <c r="H43" s="12">
        <f t="shared" si="47"/>
        <v>0</v>
      </c>
      <c r="J43" s="20">
        <f t="shared" si="91"/>
        <v>2.4999999999977263E-2</v>
      </c>
      <c r="K43" s="2"/>
      <c r="L43">
        <f t="shared" ref="L43" si="94">L42+1</f>
        <v>35</v>
      </c>
      <c r="M43">
        <v>20</v>
      </c>
      <c r="N43">
        <f t="shared" si="49"/>
        <v>700</v>
      </c>
      <c r="O43" s="19">
        <v>699.77499999999998</v>
      </c>
      <c r="P43" s="23">
        <f t="shared" si="50"/>
        <v>20.024999999999977</v>
      </c>
      <c r="Q43" s="6">
        <f t="shared" si="36"/>
        <v>-0.22500000000002274</v>
      </c>
      <c r="R43" s="27">
        <f t="shared" si="51"/>
        <v>2.4999999999977263E-2</v>
      </c>
      <c r="S43" s="19"/>
      <c r="T43" s="35"/>
      <c r="U43" s="19"/>
      <c r="V43" s="15">
        <f t="shared" si="52"/>
        <v>69</v>
      </c>
      <c r="W43" s="15">
        <f t="shared" si="53"/>
        <v>700</v>
      </c>
      <c r="X43" s="19">
        <v>699.76499999999999</v>
      </c>
      <c r="Y43" s="12">
        <f t="shared" si="54"/>
        <v>699.35500000000002</v>
      </c>
      <c r="Z43" s="27">
        <f t="shared" si="55"/>
        <v>-0.64499999999998181</v>
      </c>
      <c r="AA43" s="30">
        <f t="shared" si="56"/>
        <v>70</v>
      </c>
      <c r="AB43" s="30">
        <v>0</v>
      </c>
      <c r="AC43" s="19">
        <v>0.41</v>
      </c>
      <c r="AD43" s="28">
        <f t="shared" si="37"/>
        <v>699.35500000000002</v>
      </c>
      <c r="AE43" s="29">
        <f t="shared" si="38"/>
        <v>-0.64499999999998181</v>
      </c>
      <c r="AF43" s="19"/>
      <c r="AG43" s="20">
        <f t="shared" si="39"/>
        <v>0.20000000000004547</v>
      </c>
      <c r="AI43" s="15">
        <f t="shared" si="57"/>
        <v>69</v>
      </c>
      <c r="AJ43" s="15">
        <f t="shared" si="58"/>
        <v>700</v>
      </c>
      <c r="AK43" s="19">
        <v>699.96500000000003</v>
      </c>
      <c r="AL43" s="12">
        <f t="shared" si="59"/>
        <v>699.42000000000007</v>
      </c>
      <c r="AM43" s="27">
        <f t="shared" si="60"/>
        <v>-0.57999999999992724</v>
      </c>
      <c r="AN43" s="30">
        <f t="shared" si="61"/>
        <v>70</v>
      </c>
      <c r="AO43" s="30">
        <v>0</v>
      </c>
      <c r="AP43" s="19">
        <v>0.54500000000000004</v>
      </c>
      <c r="AQ43" s="28">
        <f t="shared" si="40"/>
        <v>699.42000000000007</v>
      </c>
      <c r="AR43" s="29">
        <f t="shared" si="41"/>
        <v>-0.57999999999992724</v>
      </c>
      <c r="AT43" s="36"/>
      <c r="AU43" s="36"/>
      <c r="AW43">
        <f t="shared" si="1"/>
        <v>42</v>
      </c>
      <c r="AX43">
        <f t="shared" si="2"/>
        <v>-20</v>
      </c>
      <c r="AY43">
        <f t="shared" si="3"/>
        <v>680</v>
      </c>
      <c r="AZ43" s="19">
        <v>-838.53</v>
      </c>
      <c r="BA43" s="2">
        <f t="shared" si="4"/>
        <v>681.46999999999957</v>
      </c>
      <c r="BB43" s="23">
        <f t="shared" si="5"/>
        <v>-20</v>
      </c>
      <c r="BC43" s="6">
        <f t="shared" si="6"/>
        <v>-1.4699999999995725</v>
      </c>
      <c r="BD43" s="12">
        <f t="shared" si="7"/>
        <v>0</v>
      </c>
      <c r="BF43" s="20">
        <f t="shared" si="42"/>
        <v>1.4999999999986358E-2</v>
      </c>
      <c r="BH43">
        <f t="shared" si="8"/>
        <v>42</v>
      </c>
      <c r="BI43">
        <f t="shared" si="9"/>
        <v>-20</v>
      </c>
      <c r="BJ43">
        <f t="shared" si="10"/>
        <v>680</v>
      </c>
      <c r="BK43" s="19">
        <v>-838.505</v>
      </c>
      <c r="BL43" s="2">
        <f t="shared" si="11"/>
        <v>681.49499999999932</v>
      </c>
      <c r="BM43" s="23">
        <f t="shared" si="12"/>
        <v>-19.985000000000014</v>
      </c>
      <c r="BN43" s="6">
        <f t="shared" si="13"/>
        <v>-1.4949999999993224</v>
      </c>
      <c r="BO43" s="12">
        <f t="shared" si="14"/>
        <v>-1.4999999999986358E-2</v>
      </c>
      <c r="BP43" s="10"/>
      <c r="BQ43" s="35"/>
      <c r="BR43" s="8"/>
      <c r="BS43" s="15">
        <f t="shared" si="15"/>
        <v>83</v>
      </c>
      <c r="BT43" s="15">
        <f t="shared" si="16"/>
        <v>680</v>
      </c>
      <c r="BU43" s="19">
        <v>-838.505</v>
      </c>
      <c r="BV43" s="12">
        <f t="shared" si="17"/>
        <v>681.97500000000002</v>
      </c>
      <c r="BW43" s="12">
        <f t="shared" si="18"/>
        <v>838.02499999999998</v>
      </c>
      <c r="BX43" s="12">
        <f t="shared" si="19"/>
        <v>-840</v>
      </c>
      <c r="BY43" s="27">
        <f t="shared" si="20"/>
        <v>-1.9750000000000227</v>
      </c>
      <c r="BZ43" s="30">
        <f t="shared" si="21"/>
        <v>84</v>
      </c>
      <c r="CA43" s="30">
        <v>0</v>
      </c>
      <c r="CB43">
        <v>-0.48499999999999999</v>
      </c>
      <c r="CC43" s="40">
        <f t="shared" si="22"/>
        <v>838.02</v>
      </c>
      <c r="CD43" s="40">
        <f t="shared" si="23"/>
        <v>-1.9800000000000182</v>
      </c>
      <c r="CE43" s="40">
        <f t="shared" si="24"/>
        <v>840</v>
      </c>
      <c r="CF43" s="6"/>
      <c r="CG43" s="20">
        <f t="shared" si="43"/>
        <v>0.13499999999999091</v>
      </c>
      <c r="CH43" s="10"/>
      <c r="CI43" s="15">
        <f t="shared" si="25"/>
        <v>83</v>
      </c>
      <c r="CJ43" s="15">
        <f t="shared" si="26"/>
        <v>680</v>
      </c>
      <c r="CK43" s="19">
        <v>-838.64</v>
      </c>
      <c r="CL43" s="12">
        <f t="shared" si="27"/>
        <v>681.84</v>
      </c>
      <c r="CM43" s="12">
        <f t="shared" si="28"/>
        <v>838.16</v>
      </c>
      <c r="CN43" s="12">
        <f t="shared" si="29"/>
        <v>-840</v>
      </c>
      <c r="CO43" s="27">
        <f t="shared" si="30"/>
        <v>-1.8400000000000318</v>
      </c>
      <c r="CP43" s="30">
        <f t="shared" si="31"/>
        <v>84</v>
      </c>
      <c r="CQ43" s="30">
        <v>0</v>
      </c>
      <c r="CR43">
        <v>-0.52500000000000002</v>
      </c>
      <c r="CS43" s="40">
        <f t="shared" si="32"/>
        <v>838.11500000000001</v>
      </c>
      <c r="CT43" s="40">
        <f t="shared" si="33"/>
        <v>-1.8849999999999909</v>
      </c>
      <c r="CU43" s="40">
        <f t="shared" si="34"/>
        <v>840</v>
      </c>
      <c r="DB43" s="19"/>
      <c r="DC43" s="2"/>
      <c r="DD43" s="2"/>
      <c r="DE43" s="6"/>
      <c r="DF43" s="12"/>
      <c r="DG43" s="10"/>
    </row>
    <row r="44" spans="2:111" x14ac:dyDescent="0.45">
      <c r="B44">
        <f t="shared" si="44"/>
        <v>36</v>
      </c>
      <c r="C44">
        <v>20</v>
      </c>
      <c r="D44">
        <f t="shared" si="45"/>
        <v>720</v>
      </c>
      <c r="E44" s="19">
        <v>719.94500000000005</v>
      </c>
      <c r="F44" s="23">
        <f t="shared" si="46"/>
        <v>20.040000000000077</v>
      </c>
      <c r="G44" s="6">
        <f t="shared" si="35"/>
        <v>-5.4999999999949978E-2</v>
      </c>
      <c r="H44" s="12">
        <f t="shared" si="47"/>
        <v>4.0000000000077307E-2</v>
      </c>
      <c r="J44" s="20">
        <f t="shared" si="91"/>
        <v>-2.5000000000090949E-2</v>
      </c>
      <c r="K44" s="2"/>
      <c r="L44">
        <f t="shared" ref="L44" si="95">L43+1</f>
        <v>36</v>
      </c>
      <c r="M44">
        <v>20</v>
      </c>
      <c r="N44">
        <f t="shared" si="49"/>
        <v>720</v>
      </c>
      <c r="O44" s="19">
        <v>719.79</v>
      </c>
      <c r="P44" s="23">
        <f t="shared" si="50"/>
        <v>20.014999999999986</v>
      </c>
      <c r="Q44" s="6">
        <f t="shared" si="36"/>
        <v>-0.21000000000003638</v>
      </c>
      <c r="R44" s="27">
        <f t="shared" si="51"/>
        <v>1.4999999999986358E-2</v>
      </c>
      <c r="S44" s="19"/>
      <c r="T44" s="35"/>
      <c r="U44" s="19"/>
      <c r="V44" s="15">
        <f t="shared" si="52"/>
        <v>71</v>
      </c>
      <c r="W44" s="15">
        <f t="shared" si="53"/>
        <v>720</v>
      </c>
      <c r="X44" s="19">
        <v>719.80499999999995</v>
      </c>
      <c r="Y44" s="12">
        <f t="shared" si="54"/>
        <v>719.39499999999998</v>
      </c>
      <c r="Z44" s="27">
        <f t="shared" si="55"/>
        <v>-0.60500000000001819</v>
      </c>
      <c r="AA44" s="30">
        <f t="shared" si="56"/>
        <v>72</v>
      </c>
      <c r="AB44" s="30">
        <v>0</v>
      </c>
      <c r="AC44" s="19">
        <v>0.40500000000000003</v>
      </c>
      <c r="AD44" s="28">
        <f t="shared" si="37"/>
        <v>719.4</v>
      </c>
      <c r="AE44" s="29">
        <f t="shared" si="38"/>
        <v>-0.60000000000002274</v>
      </c>
      <c r="AF44" s="19"/>
      <c r="AG44" s="20">
        <f t="shared" si="39"/>
        <v>0.17500000000006821</v>
      </c>
      <c r="AI44" s="15">
        <f t="shared" si="57"/>
        <v>71</v>
      </c>
      <c r="AJ44" s="15">
        <f t="shared" si="58"/>
        <v>720</v>
      </c>
      <c r="AK44" s="19">
        <v>719.98</v>
      </c>
      <c r="AL44" s="12">
        <f t="shared" si="59"/>
        <v>719.43500000000006</v>
      </c>
      <c r="AM44" s="27">
        <f t="shared" si="60"/>
        <v>-0.56499999999994088</v>
      </c>
      <c r="AN44" s="30">
        <f t="shared" si="61"/>
        <v>72</v>
      </c>
      <c r="AO44" s="30">
        <v>0</v>
      </c>
      <c r="AP44" s="19">
        <v>0.54</v>
      </c>
      <c r="AQ44" s="28">
        <f t="shared" si="40"/>
        <v>719.44</v>
      </c>
      <c r="AR44" s="29">
        <f t="shared" si="41"/>
        <v>-0.55999999999994543</v>
      </c>
      <c r="AT44" s="36"/>
      <c r="AU44" s="36"/>
      <c r="AW44">
        <f t="shared" si="1"/>
        <v>41</v>
      </c>
      <c r="AX44">
        <f t="shared" si="2"/>
        <v>-20</v>
      </c>
      <c r="AY44">
        <f t="shared" si="3"/>
        <v>700</v>
      </c>
      <c r="AZ44" s="19">
        <v>-818.53</v>
      </c>
      <c r="BA44" s="2">
        <f t="shared" si="4"/>
        <v>701.46999999999957</v>
      </c>
      <c r="BB44" s="23">
        <f t="shared" si="5"/>
        <v>-19.954999999999927</v>
      </c>
      <c r="BC44" s="6">
        <f t="shared" si="6"/>
        <v>-1.4699999999995725</v>
      </c>
      <c r="BD44" s="12">
        <f t="shared" si="7"/>
        <v>-4.500000000007276E-2</v>
      </c>
      <c r="BF44" s="20">
        <f t="shared" si="42"/>
        <v>-3.0000000000086402E-2</v>
      </c>
      <c r="BH44">
        <f t="shared" si="8"/>
        <v>41</v>
      </c>
      <c r="BI44">
        <f t="shared" si="9"/>
        <v>-20</v>
      </c>
      <c r="BJ44">
        <f t="shared" si="10"/>
        <v>700</v>
      </c>
      <c r="BK44" s="19">
        <v>-818.52</v>
      </c>
      <c r="BL44" s="2">
        <f t="shared" si="11"/>
        <v>701.47999999999934</v>
      </c>
      <c r="BM44" s="23">
        <f t="shared" si="12"/>
        <v>-19.985000000000014</v>
      </c>
      <c r="BN44" s="6">
        <f t="shared" si="13"/>
        <v>-1.4799999999993361</v>
      </c>
      <c r="BO44" s="12">
        <f t="shared" si="14"/>
        <v>-1.4999999999986358E-2</v>
      </c>
      <c r="BP44" s="10"/>
      <c r="BQ44" s="35"/>
      <c r="BR44" s="8"/>
      <c r="BS44" s="15">
        <f t="shared" si="15"/>
        <v>81</v>
      </c>
      <c r="BT44" s="15">
        <f t="shared" si="16"/>
        <v>700</v>
      </c>
      <c r="BU44" s="19">
        <v>-818.52</v>
      </c>
      <c r="BV44" s="12">
        <f t="shared" si="17"/>
        <v>701.95500000000004</v>
      </c>
      <c r="BW44" s="12">
        <f t="shared" si="18"/>
        <v>818.04499999999996</v>
      </c>
      <c r="BX44" s="12">
        <f t="shared" si="19"/>
        <v>-820</v>
      </c>
      <c r="BY44" s="27">
        <f t="shared" si="20"/>
        <v>-1.9550000000000409</v>
      </c>
      <c r="BZ44" s="30">
        <f t="shared" si="21"/>
        <v>82</v>
      </c>
      <c r="CA44" s="30">
        <v>0</v>
      </c>
      <c r="CB44">
        <v>-0.48</v>
      </c>
      <c r="CC44" s="40">
        <f t="shared" si="22"/>
        <v>818.04</v>
      </c>
      <c r="CD44" s="40">
        <f t="shared" si="23"/>
        <v>-1.9600000000000364</v>
      </c>
      <c r="CE44" s="40">
        <f t="shared" si="24"/>
        <v>820</v>
      </c>
      <c r="CF44" s="6"/>
      <c r="CG44" s="20">
        <f t="shared" si="43"/>
        <v>8.500000000003638E-2</v>
      </c>
      <c r="CH44" s="10"/>
      <c r="CI44" s="15">
        <f t="shared" si="25"/>
        <v>81</v>
      </c>
      <c r="CJ44" s="15">
        <f t="shared" si="26"/>
        <v>700</v>
      </c>
      <c r="CK44" s="19">
        <v>-818.60500000000002</v>
      </c>
      <c r="CL44" s="12">
        <f t="shared" si="27"/>
        <v>701.86500000000001</v>
      </c>
      <c r="CM44" s="12">
        <f t="shared" si="28"/>
        <v>818.13499999999999</v>
      </c>
      <c r="CN44" s="12">
        <f t="shared" si="29"/>
        <v>-820</v>
      </c>
      <c r="CO44" s="27">
        <f t="shared" si="30"/>
        <v>-1.8650000000000091</v>
      </c>
      <c r="CP44" s="30">
        <f t="shared" si="31"/>
        <v>82</v>
      </c>
      <c r="CQ44" s="30">
        <v>0</v>
      </c>
      <c r="CR44">
        <v>-0.48</v>
      </c>
      <c r="CS44" s="40">
        <f t="shared" si="32"/>
        <v>818.125</v>
      </c>
      <c r="CT44" s="40">
        <f t="shared" si="33"/>
        <v>-1.875</v>
      </c>
      <c r="CU44" s="40">
        <f t="shared" si="34"/>
        <v>820</v>
      </c>
      <c r="DB44" s="19"/>
      <c r="DC44" s="2"/>
      <c r="DD44" s="2"/>
      <c r="DE44" s="6"/>
      <c r="DF44" s="12"/>
      <c r="DG44" s="10"/>
    </row>
    <row r="45" spans="2:111" x14ac:dyDescent="0.45">
      <c r="B45">
        <f t="shared" si="44"/>
        <v>37</v>
      </c>
      <c r="C45">
        <v>20</v>
      </c>
      <c r="D45">
        <f t="shared" si="45"/>
        <v>740</v>
      </c>
      <c r="E45" s="19">
        <v>740.005</v>
      </c>
      <c r="F45" s="23">
        <f t="shared" si="46"/>
        <v>20.059999999999945</v>
      </c>
      <c r="G45" s="6">
        <f t="shared" si="35"/>
        <v>4.9999999999954525E-3</v>
      </c>
      <c r="H45" s="12">
        <f t="shared" si="47"/>
        <v>5.999999999994543E-2</v>
      </c>
      <c r="J45" s="20">
        <f t="shared" si="91"/>
        <v>-2.9999999999859028E-2</v>
      </c>
      <c r="K45" s="2"/>
      <c r="L45">
        <f t="shared" ref="L45" si="96">L44+1</f>
        <v>37</v>
      </c>
      <c r="M45">
        <v>20</v>
      </c>
      <c r="N45">
        <f t="shared" si="49"/>
        <v>740</v>
      </c>
      <c r="O45" s="19">
        <v>739.82</v>
      </c>
      <c r="P45" s="23">
        <f t="shared" si="50"/>
        <v>20.030000000000086</v>
      </c>
      <c r="Q45" s="6">
        <f t="shared" si="36"/>
        <v>-0.17999999999994998</v>
      </c>
      <c r="R45" s="27">
        <f t="shared" si="51"/>
        <v>3.0000000000086402E-2</v>
      </c>
      <c r="S45" s="19"/>
      <c r="T45" s="35"/>
      <c r="U45" s="19"/>
      <c r="V45" s="15">
        <f t="shared" si="52"/>
        <v>73</v>
      </c>
      <c r="W45" s="15">
        <f t="shared" si="53"/>
        <v>740</v>
      </c>
      <c r="X45" s="19">
        <v>739.84500000000003</v>
      </c>
      <c r="Y45" s="12">
        <f t="shared" si="54"/>
        <v>739.44</v>
      </c>
      <c r="Z45" s="27">
        <f t="shared" si="55"/>
        <v>-0.55999999999994543</v>
      </c>
      <c r="AA45" s="30">
        <f t="shared" si="56"/>
        <v>74</v>
      </c>
      <c r="AB45" s="30">
        <v>0</v>
      </c>
      <c r="AC45" s="19">
        <v>0.4</v>
      </c>
      <c r="AD45" s="28">
        <f t="shared" si="37"/>
        <v>739.44500000000005</v>
      </c>
      <c r="AE45" s="29">
        <f t="shared" si="38"/>
        <v>-0.55499999999994998</v>
      </c>
      <c r="AF45" s="19"/>
      <c r="AG45" s="20">
        <f t="shared" si="39"/>
        <v>0.15499999999997272</v>
      </c>
      <c r="AI45" s="15">
        <f t="shared" si="57"/>
        <v>73</v>
      </c>
      <c r="AJ45" s="15">
        <f t="shared" si="58"/>
        <v>740</v>
      </c>
      <c r="AK45" s="19">
        <v>740</v>
      </c>
      <c r="AL45" s="12">
        <f t="shared" si="59"/>
        <v>739.46</v>
      </c>
      <c r="AM45" s="27">
        <f t="shared" si="60"/>
        <v>-0.53999999999996362</v>
      </c>
      <c r="AN45" s="30">
        <f t="shared" si="61"/>
        <v>74</v>
      </c>
      <c r="AO45" s="30">
        <v>0</v>
      </c>
      <c r="AP45" s="19">
        <v>0.54</v>
      </c>
      <c r="AQ45" s="28">
        <f t="shared" si="40"/>
        <v>739.46</v>
      </c>
      <c r="AR45" s="29">
        <f t="shared" si="41"/>
        <v>-0.53999999999996362</v>
      </c>
      <c r="AT45" s="36"/>
      <c r="AU45" s="36"/>
      <c r="AW45">
        <f t="shared" si="1"/>
        <v>40</v>
      </c>
      <c r="AX45">
        <f t="shared" si="2"/>
        <v>-20</v>
      </c>
      <c r="AY45">
        <f t="shared" si="3"/>
        <v>720</v>
      </c>
      <c r="AZ45" s="19">
        <v>-798.57500000000005</v>
      </c>
      <c r="BA45" s="2">
        <f t="shared" si="4"/>
        <v>721.4249999999995</v>
      </c>
      <c r="BB45" s="23">
        <f t="shared" si="5"/>
        <v>-20</v>
      </c>
      <c r="BC45" s="6">
        <f t="shared" si="6"/>
        <v>-1.4249999999994998</v>
      </c>
      <c r="BD45" s="12">
        <f t="shared" si="7"/>
        <v>0</v>
      </c>
      <c r="BF45" s="20">
        <f t="shared" si="42"/>
        <v>-2.9999999999972715E-2</v>
      </c>
      <c r="BH45">
        <f t="shared" si="8"/>
        <v>40</v>
      </c>
      <c r="BI45">
        <f t="shared" si="9"/>
        <v>-20</v>
      </c>
      <c r="BJ45">
        <f t="shared" si="10"/>
        <v>720</v>
      </c>
      <c r="BK45" s="19">
        <v>-798.53499999999997</v>
      </c>
      <c r="BL45" s="2">
        <f t="shared" si="11"/>
        <v>721.46499999999935</v>
      </c>
      <c r="BM45" s="23">
        <f t="shared" si="12"/>
        <v>-20.029999999999973</v>
      </c>
      <c r="BN45" s="6">
        <f t="shared" si="13"/>
        <v>-1.4649999999993497</v>
      </c>
      <c r="BO45" s="12">
        <f t="shared" si="14"/>
        <v>2.9999999999972715E-2</v>
      </c>
      <c r="BP45" s="10"/>
      <c r="BQ45" s="35"/>
      <c r="BR45" s="8"/>
      <c r="BS45" s="15">
        <f t="shared" si="15"/>
        <v>79</v>
      </c>
      <c r="BT45" s="15">
        <f t="shared" si="16"/>
        <v>720</v>
      </c>
      <c r="BU45" s="19">
        <v>-798.53499999999997</v>
      </c>
      <c r="BV45" s="12">
        <f t="shared" si="17"/>
        <v>721.95</v>
      </c>
      <c r="BW45" s="12">
        <f t="shared" si="18"/>
        <v>798.05</v>
      </c>
      <c r="BX45" s="12">
        <f t="shared" si="19"/>
        <v>-800</v>
      </c>
      <c r="BY45" s="27">
        <f t="shared" si="20"/>
        <v>-1.9500000000000455</v>
      </c>
      <c r="BZ45" s="30">
        <f t="shared" si="21"/>
        <v>80</v>
      </c>
      <c r="CA45" s="30">
        <v>0</v>
      </c>
      <c r="CB45">
        <v>-0.47499999999999998</v>
      </c>
      <c r="CC45" s="40">
        <f t="shared" si="22"/>
        <v>798.06</v>
      </c>
      <c r="CD45" s="40">
        <f t="shared" si="23"/>
        <v>-1.9400000000000546</v>
      </c>
      <c r="CE45" s="40">
        <f t="shared" si="24"/>
        <v>800</v>
      </c>
      <c r="CF45" s="6"/>
      <c r="CG45" s="20">
        <f t="shared" si="43"/>
        <v>4.500000000007276E-2</v>
      </c>
      <c r="CH45" s="10"/>
      <c r="CI45" s="15">
        <f t="shared" si="25"/>
        <v>79</v>
      </c>
      <c r="CJ45" s="15">
        <f t="shared" si="26"/>
        <v>720</v>
      </c>
      <c r="CK45" s="19">
        <v>-798.58</v>
      </c>
      <c r="CL45" s="12">
        <f t="shared" si="27"/>
        <v>721.87</v>
      </c>
      <c r="CM45" s="12">
        <f t="shared" si="28"/>
        <v>798.13</v>
      </c>
      <c r="CN45" s="12">
        <f t="shared" si="29"/>
        <v>-800</v>
      </c>
      <c r="CO45" s="27">
        <f t="shared" si="30"/>
        <v>-1.8700000000000045</v>
      </c>
      <c r="CP45" s="30">
        <f t="shared" si="31"/>
        <v>80</v>
      </c>
      <c r="CQ45" s="30">
        <v>0</v>
      </c>
      <c r="CR45">
        <v>-0.47</v>
      </c>
      <c r="CS45" s="40">
        <f t="shared" si="32"/>
        <v>798.11</v>
      </c>
      <c r="CT45" s="40">
        <f t="shared" si="33"/>
        <v>-1.8899999999999864</v>
      </c>
      <c r="CU45" s="40">
        <f t="shared" si="34"/>
        <v>800</v>
      </c>
      <c r="DB45" s="19"/>
      <c r="DC45" s="2"/>
      <c r="DD45" s="2"/>
      <c r="DE45" s="6"/>
      <c r="DF45" s="12"/>
      <c r="DG45" s="10"/>
    </row>
    <row r="46" spans="2:111" x14ac:dyDescent="0.45">
      <c r="B46">
        <f t="shared" si="44"/>
        <v>38</v>
      </c>
      <c r="C46">
        <v>20</v>
      </c>
      <c r="D46">
        <f t="shared" si="45"/>
        <v>760</v>
      </c>
      <c r="E46" s="19">
        <v>759.92</v>
      </c>
      <c r="F46" s="23">
        <f t="shared" si="46"/>
        <v>19.914999999999964</v>
      </c>
      <c r="G46" s="6">
        <f t="shared" si="35"/>
        <v>-8.0000000000040927E-2</v>
      </c>
      <c r="H46" s="12">
        <f t="shared" si="47"/>
        <v>-8.500000000003638E-2</v>
      </c>
      <c r="J46" s="20">
        <f t="shared" si="91"/>
        <v>6.4999999999940883E-2</v>
      </c>
      <c r="K46" s="2"/>
      <c r="L46">
        <f t="shared" ref="L46" si="97">L45+1</f>
        <v>38</v>
      </c>
      <c r="M46">
        <v>20</v>
      </c>
      <c r="N46">
        <f t="shared" si="49"/>
        <v>760</v>
      </c>
      <c r="O46" s="19">
        <v>759.8</v>
      </c>
      <c r="P46" s="23">
        <f t="shared" si="50"/>
        <v>19.979999999999905</v>
      </c>
      <c r="Q46" s="6">
        <f t="shared" si="36"/>
        <v>-0.20000000000004547</v>
      </c>
      <c r="R46" s="27">
        <f t="shared" si="51"/>
        <v>-2.0000000000095497E-2</v>
      </c>
      <c r="S46" s="19"/>
      <c r="T46" s="35"/>
      <c r="U46" s="19"/>
      <c r="V46" s="15">
        <f t="shared" si="52"/>
        <v>75</v>
      </c>
      <c r="W46" s="15">
        <f t="shared" si="53"/>
        <v>760</v>
      </c>
      <c r="X46" s="19">
        <v>759.85500000000002</v>
      </c>
      <c r="Y46" s="12">
        <f t="shared" si="54"/>
        <v>759.45500000000004</v>
      </c>
      <c r="Z46" s="27">
        <f t="shared" si="55"/>
        <v>-0.54499999999995907</v>
      </c>
      <c r="AA46" s="30">
        <f t="shared" si="56"/>
        <v>76</v>
      </c>
      <c r="AB46" s="30">
        <v>0</v>
      </c>
      <c r="AC46" s="19">
        <v>0.40500000000000003</v>
      </c>
      <c r="AD46" s="28">
        <f t="shared" si="37"/>
        <v>759.45</v>
      </c>
      <c r="AE46" s="29">
        <f t="shared" si="38"/>
        <v>-0.54999999999995453</v>
      </c>
      <c r="AF46" s="19"/>
      <c r="AG46" s="20">
        <f t="shared" si="39"/>
        <v>0.14999999999997726</v>
      </c>
      <c r="AI46" s="15">
        <f t="shared" si="57"/>
        <v>75</v>
      </c>
      <c r="AJ46" s="15">
        <f t="shared" si="58"/>
        <v>760</v>
      </c>
      <c r="AK46" s="19">
        <v>760.005</v>
      </c>
      <c r="AL46" s="12">
        <f t="shared" si="59"/>
        <v>759.46500000000003</v>
      </c>
      <c r="AM46" s="27">
        <f t="shared" si="60"/>
        <v>-0.53499999999996817</v>
      </c>
      <c r="AN46" s="30">
        <f t="shared" si="61"/>
        <v>76</v>
      </c>
      <c r="AO46" s="30">
        <v>0</v>
      </c>
      <c r="AP46" s="19">
        <v>0.54</v>
      </c>
      <c r="AQ46" s="28">
        <f t="shared" si="40"/>
        <v>759.46500000000003</v>
      </c>
      <c r="AR46" s="29">
        <f t="shared" si="41"/>
        <v>-0.53499999999996817</v>
      </c>
      <c r="AT46" s="36"/>
      <c r="AU46" s="36"/>
      <c r="AW46">
        <f t="shared" si="1"/>
        <v>39</v>
      </c>
      <c r="AX46">
        <f t="shared" si="2"/>
        <v>-20</v>
      </c>
      <c r="AY46">
        <f t="shared" si="3"/>
        <v>740</v>
      </c>
      <c r="AZ46" s="19">
        <v>-778.57500000000005</v>
      </c>
      <c r="BA46" s="2">
        <f t="shared" si="4"/>
        <v>741.4249999999995</v>
      </c>
      <c r="BB46" s="23">
        <f t="shared" si="5"/>
        <v>-19.975000000000023</v>
      </c>
      <c r="BC46" s="6">
        <f t="shared" si="6"/>
        <v>-1.4249999999994998</v>
      </c>
      <c r="BD46" s="12">
        <f t="shared" si="7"/>
        <v>-2.4999999999977263E-2</v>
      </c>
      <c r="BF46" s="20">
        <f t="shared" si="42"/>
        <v>0</v>
      </c>
      <c r="BH46">
        <f t="shared" si="8"/>
        <v>39</v>
      </c>
      <c r="BI46">
        <f t="shared" si="9"/>
        <v>-20</v>
      </c>
      <c r="BJ46">
        <f t="shared" si="10"/>
        <v>740</v>
      </c>
      <c r="BK46" s="19">
        <v>-778.505</v>
      </c>
      <c r="BL46" s="2">
        <f t="shared" si="11"/>
        <v>741.49499999999932</v>
      </c>
      <c r="BM46" s="23">
        <f t="shared" si="12"/>
        <v>-19.975000000000023</v>
      </c>
      <c r="BN46" s="6">
        <f t="shared" si="13"/>
        <v>-1.4949999999993224</v>
      </c>
      <c r="BO46" s="12">
        <f t="shared" si="14"/>
        <v>-2.4999999999977263E-2</v>
      </c>
      <c r="BP46" s="10"/>
      <c r="BQ46" s="35"/>
      <c r="BR46" s="8"/>
      <c r="BS46" s="15">
        <f t="shared" si="15"/>
        <v>77</v>
      </c>
      <c r="BT46" s="15">
        <f t="shared" si="16"/>
        <v>740</v>
      </c>
      <c r="BU46" s="19">
        <v>-778.505</v>
      </c>
      <c r="BV46" s="12">
        <f t="shared" si="17"/>
        <v>741.96</v>
      </c>
      <c r="BW46" s="12">
        <f t="shared" si="18"/>
        <v>778.04</v>
      </c>
      <c r="BX46" s="12">
        <f t="shared" si="19"/>
        <v>-780</v>
      </c>
      <c r="BY46" s="27">
        <f t="shared" si="20"/>
        <v>-1.9600000000000364</v>
      </c>
      <c r="BZ46" s="30">
        <f t="shared" si="21"/>
        <v>78</v>
      </c>
      <c r="CA46" s="30">
        <v>0</v>
      </c>
      <c r="CB46">
        <v>-0.48499999999999999</v>
      </c>
      <c r="CC46" s="40">
        <f t="shared" si="22"/>
        <v>778.02</v>
      </c>
      <c r="CD46" s="40">
        <f t="shared" si="23"/>
        <v>-1.9800000000000182</v>
      </c>
      <c r="CE46" s="40">
        <f t="shared" si="24"/>
        <v>780</v>
      </c>
      <c r="CF46" s="6"/>
      <c r="CG46" s="20">
        <f t="shared" si="43"/>
        <v>8.500000000003638E-2</v>
      </c>
      <c r="CH46" s="10"/>
      <c r="CI46" s="15">
        <f t="shared" si="25"/>
        <v>77</v>
      </c>
      <c r="CJ46" s="15">
        <f t="shared" si="26"/>
        <v>740</v>
      </c>
      <c r="CK46" s="19">
        <v>-778.59</v>
      </c>
      <c r="CL46" s="12">
        <f t="shared" si="27"/>
        <v>741.88499999999999</v>
      </c>
      <c r="CM46" s="12">
        <f t="shared" si="28"/>
        <v>778.11500000000001</v>
      </c>
      <c r="CN46" s="12">
        <f t="shared" si="29"/>
        <v>-780</v>
      </c>
      <c r="CO46" s="27">
        <f t="shared" si="30"/>
        <v>-1.8849999999999909</v>
      </c>
      <c r="CP46" s="30">
        <f t="shared" si="31"/>
        <v>78</v>
      </c>
      <c r="CQ46" s="30">
        <v>0</v>
      </c>
      <c r="CR46">
        <v>-0.45</v>
      </c>
      <c r="CS46" s="40">
        <f t="shared" si="32"/>
        <v>778.14</v>
      </c>
      <c r="CT46" s="40">
        <f t="shared" si="33"/>
        <v>-1.8600000000000136</v>
      </c>
      <c r="CU46" s="40">
        <f t="shared" si="34"/>
        <v>780</v>
      </c>
      <c r="DB46" s="19"/>
      <c r="DC46" s="2"/>
      <c r="DD46" s="2"/>
      <c r="DE46" s="6"/>
      <c r="DF46" s="12"/>
      <c r="DG46" s="10"/>
    </row>
    <row r="47" spans="2:111" x14ac:dyDescent="0.45">
      <c r="B47">
        <f t="shared" si="44"/>
        <v>39</v>
      </c>
      <c r="C47">
        <v>20</v>
      </c>
      <c r="D47">
        <f t="shared" si="45"/>
        <v>780</v>
      </c>
      <c r="E47" s="19">
        <v>779.85</v>
      </c>
      <c r="F47" s="23">
        <f t="shared" si="46"/>
        <v>19.930000000000064</v>
      </c>
      <c r="G47" s="6">
        <f t="shared" si="35"/>
        <v>-0.14999999999997726</v>
      </c>
      <c r="H47" s="12">
        <f t="shared" si="47"/>
        <v>-6.9999999999936335E-2</v>
      </c>
      <c r="J47" s="20">
        <f t="shared" si="91"/>
        <v>-1.4999999999986358E-2</v>
      </c>
      <c r="K47" s="2"/>
      <c r="L47">
        <f t="shared" ref="L47" si="98">L46+1</f>
        <v>39</v>
      </c>
      <c r="M47">
        <v>20</v>
      </c>
      <c r="N47">
        <f t="shared" si="49"/>
        <v>780</v>
      </c>
      <c r="O47" s="19">
        <v>779.71500000000003</v>
      </c>
      <c r="P47" s="23">
        <f t="shared" si="50"/>
        <v>19.915000000000077</v>
      </c>
      <c r="Q47" s="6">
        <f t="shared" si="36"/>
        <v>-0.28499999999996817</v>
      </c>
      <c r="R47" s="27">
        <f t="shared" si="51"/>
        <v>-8.4999999999922693E-2</v>
      </c>
      <c r="S47" s="19"/>
      <c r="T47" s="35"/>
      <c r="U47" s="19"/>
      <c r="V47" s="15">
        <f t="shared" si="52"/>
        <v>77</v>
      </c>
      <c r="W47" s="15">
        <f t="shared" si="53"/>
        <v>780</v>
      </c>
      <c r="X47" s="19">
        <v>779.74</v>
      </c>
      <c r="Y47" s="12">
        <f t="shared" si="54"/>
        <v>779.33500000000004</v>
      </c>
      <c r="Z47" s="27">
        <f t="shared" si="55"/>
        <v>-0.66499999999996362</v>
      </c>
      <c r="AA47" s="30">
        <f t="shared" si="56"/>
        <v>78</v>
      </c>
      <c r="AB47" s="30">
        <v>0</v>
      </c>
      <c r="AC47" s="19">
        <v>0.40500000000000003</v>
      </c>
      <c r="AD47" s="28">
        <f t="shared" si="37"/>
        <v>779.33500000000004</v>
      </c>
      <c r="AE47" s="29">
        <f t="shared" si="38"/>
        <v>-0.66499999999996362</v>
      </c>
      <c r="AF47" s="19"/>
      <c r="AG47" s="20">
        <f t="shared" si="39"/>
        <v>0.17999999999994998</v>
      </c>
      <c r="AI47" s="15">
        <f t="shared" si="57"/>
        <v>77</v>
      </c>
      <c r="AJ47" s="15">
        <f t="shared" si="58"/>
        <v>780</v>
      </c>
      <c r="AK47" s="19">
        <v>779.92</v>
      </c>
      <c r="AL47" s="12">
        <f t="shared" si="59"/>
        <v>779.38</v>
      </c>
      <c r="AM47" s="27">
        <f t="shared" si="60"/>
        <v>-0.62000000000000455</v>
      </c>
      <c r="AN47" s="30">
        <f t="shared" si="61"/>
        <v>78</v>
      </c>
      <c r="AO47" s="30">
        <v>0</v>
      </c>
      <c r="AP47" s="19">
        <v>0.53500000000000003</v>
      </c>
      <c r="AQ47" s="28">
        <f t="shared" si="40"/>
        <v>779.38499999999999</v>
      </c>
      <c r="AR47" s="29">
        <f t="shared" si="41"/>
        <v>-0.61500000000000909</v>
      </c>
      <c r="AT47" s="36"/>
      <c r="AU47" s="36"/>
      <c r="AW47">
        <f t="shared" si="1"/>
        <v>38</v>
      </c>
      <c r="AX47">
        <f t="shared" si="2"/>
        <v>-20</v>
      </c>
      <c r="AY47">
        <f t="shared" si="3"/>
        <v>760</v>
      </c>
      <c r="AZ47" s="19">
        <v>-758.6</v>
      </c>
      <c r="BA47" s="2">
        <f t="shared" si="4"/>
        <v>761.39999999999952</v>
      </c>
      <c r="BB47" s="23">
        <f t="shared" si="5"/>
        <v>-19.94500000000005</v>
      </c>
      <c r="BC47" s="6">
        <f t="shared" si="6"/>
        <v>-1.3999999999995225</v>
      </c>
      <c r="BD47" s="12">
        <f t="shared" si="7"/>
        <v>-5.4999999999949978E-2</v>
      </c>
      <c r="BF47" s="20">
        <f t="shared" si="42"/>
        <v>3.5000000000081855E-2</v>
      </c>
      <c r="BH47">
        <f t="shared" si="8"/>
        <v>38</v>
      </c>
      <c r="BI47">
        <f t="shared" si="9"/>
        <v>-20</v>
      </c>
      <c r="BJ47">
        <f t="shared" si="10"/>
        <v>760</v>
      </c>
      <c r="BK47" s="19">
        <v>-758.53</v>
      </c>
      <c r="BL47" s="2">
        <f t="shared" si="11"/>
        <v>761.46999999999935</v>
      </c>
      <c r="BM47" s="23">
        <f t="shared" si="12"/>
        <v>-19.909999999999968</v>
      </c>
      <c r="BN47" s="6">
        <f t="shared" si="13"/>
        <v>-1.4699999999993452</v>
      </c>
      <c r="BO47" s="12">
        <f t="shared" si="14"/>
        <v>-9.0000000000031832E-2</v>
      </c>
      <c r="BP47" s="10"/>
      <c r="BQ47" s="35"/>
      <c r="BR47" s="8"/>
      <c r="BS47" s="15">
        <f t="shared" si="15"/>
        <v>75</v>
      </c>
      <c r="BT47" s="15">
        <f t="shared" si="16"/>
        <v>760</v>
      </c>
      <c r="BU47" s="19">
        <v>-758.53</v>
      </c>
      <c r="BV47" s="12">
        <f t="shared" si="17"/>
        <v>761.95</v>
      </c>
      <c r="BW47" s="12">
        <f t="shared" si="18"/>
        <v>758.05</v>
      </c>
      <c r="BX47" s="12">
        <f t="shared" si="19"/>
        <v>-760</v>
      </c>
      <c r="BY47" s="27">
        <f t="shared" si="20"/>
        <v>-1.9500000000000455</v>
      </c>
      <c r="BZ47" s="30">
        <f t="shared" si="21"/>
        <v>76</v>
      </c>
      <c r="CA47" s="30">
        <v>0</v>
      </c>
      <c r="CB47">
        <v>-0.46500000000000002</v>
      </c>
      <c r="CC47" s="40">
        <f t="shared" si="22"/>
        <v>758.06499999999994</v>
      </c>
      <c r="CD47" s="40">
        <f t="shared" si="23"/>
        <v>-1.9350000000000591</v>
      </c>
      <c r="CE47" s="40">
        <f t="shared" si="24"/>
        <v>760</v>
      </c>
      <c r="CF47" s="6"/>
      <c r="CG47" s="20">
        <f t="shared" si="43"/>
        <v>4.500000000007276E-2</v>
      </c>
      <c r="CH47" s="10"/>
      <c r="CI47" s="15">
        <f t="shared" si="25"/>
        <v>75</v>
      </c>
      <c r="CJ47" s="15">
        <f t="shared" si="26"/>
        <v>760</v>
      </c>
      <c r="CK47" s="19">
        <v>-758.57500000000005</v>
      </c>
      <c r="CL47" s="12">
        <f t="shared" si="27"/>
        <v>761.89499999999998</v>
      </c>
      <c r="CM47" s="12">
        <f t="shared" si="28"/>
        <v>758.10500000000002</v>
      </c>
      <c r="CN47" s="12">
        <f t="shared" si="29"/>
        <v>-760</v>
      </c>
      <c r="CO47" s="27">
        <f t="shared" si="30"/>
        <v>-1.8949999999999818</v>
      </c>
      <c r="CP47" s="30">
        <f t="shared" si="31"/>
        <v>76</v>
      </c>
      <c r="CQ47" s="30">
        <v>0</v>
      </c>
      <c r="CR47">
        <v>-0.47499999999999998</v>
      </c>
      <c r="CS47" s="40">
        <f t="shared" si="32"/>
        <v>758.1</v>
      </c>
      <c r="CT47" s="40">
        <f t="shared" si="33"/>
        <v>-1.8999999999999773</v>
      </c>
      <c r="CU47" s="40">
        <f t="shared" si="34"/>
        <v>760</v>
      </c>
      <c r="DB47" s="19"/>
      <c r="DC47" s="2"/>
      <c r="DD47" s="2"/>
      <c r="DE47" s="6"/>
      <c r="DF47" s="12"/>
      <c r="DG47" s="10"/>
    </row>
    <row r="48" spans="2:111" x14ac:dyDescent="0.45">
      <c r="B48">
        <f t="shared" si="44"/>
        <v>40</v>
      </c>
      <c r="C48">
        <v>20</v>
      </c>
      <c r="D48">
        <f t="shared" si="45"/>
        <v>800</v>
      </c>
      <c r="E48" s="19">
        <v>799.69</v>
      </c>
      <c r="F48" s="23">
        <f t="shared" si="46"/>
        <v>19.840000000000032</v>
      </c>
      <c r="G48" s="6">
        <f t="shared" si="35"/>
        <v>-0.30999999999994543</v>
      </c>
      <c r="H48" s="12">
        <f t="shared" si="47"/>
        <v>-0.15999999999996817</v>
      </c>
      <c r="J48" s="20">
        <f t="shared" si="91"/>
        <v>9.9999999999909051E-3</v>
      </c>
      <c r="K48" s="2"/>
      <c r="L48">
        <f t="shared" ref="L48" si="99">L47+1</f>
        <v>40</v>
      </c>
      <c r="M48">
        <v>20</v>
      </c>
      <c r="N48">
        <f t="shared" si="49"/>
        <v>800</v>
      </c>
      <c r="O48" s="19">
        <v>799.56500000000005</v>
      </c>
      <c r="P48" s="23">
        <f t="shared" si="50"/>
        <v>19.850000000000023</v>
      </c>
      <c r="Q48" s="6">
        <f t="shared" si="36"/>
        <v>-0.43499999999994543</v>
      </c>
      <c r="R48" s="27">
        <f t="shared" si="51"/>
        <v>-0.14999999999997726</v>
      </c>
      <c r="S48" s="19"/>
      <c r="T48" s="35"/>
      <c r="U48" s="19"/>
      <c r="V48" s="15">
        <f t="shared" si="52"/>
        <v>79</v>
      </c>
      <c r="W48" s="15">
        <f t="shared" si="53"/>
        <v>800</v>
      </c>
      <c r="X48" s="19">
        <v>799.60500000000002</v>
      </c>
      <c r="Y48" s="12">
        <f t="shared" si="54"/>
        <v>799.2</v>
      </c>
      <c r="Z48" s="27">
        <f t="shared" si="55"/>
        <v>-0.79999999999995453</v>
      </c>
      <c r="AA48" s="30">
        <f t="shared" si="56"/>
        <v>80</v>
      </c>
      <c r="AB48" s="30">
        <v>0</v>
      </c>
      <c r="AC48" s="19">
        <v>0.4</v>
      </c>
      <c r="AD48" s="28">
        <f t="shared" si="37"/>
        <v>799.20500000000004</v>
      </c>
      <c r="AE48" s="29">
        <f t="shared" si="38"/>
        <v>-0.79499999999995907</v>
      </c>
      <c r="AF48" s="19"/>
      <c r="AG48" s="20">
        <f t="shared" si="39"/>
        <v>0.16999999999995907</v>
      </c>
      <c r="AI48" s="15">
        <f t="shared" si="57"/>
        <v>79</v>
      </c>
      <c r="AJ48" s="15">
        <f t="shared" si="58"/>
        <v>800</v>
      </c>
      <c r="AK48" s="19">
        <v>799.77499999999998</v>
      </c>
      <c r="AL48" s="12">
        <f t="shared" si="59"/>
        <v>799.24</v>
      </c>
      <c r="AM48" s="27">
        <f t="shared" si="60"/>
        <v>-0.75999999999999091</v>
      </c>
      <c r="AN48" s="30">
        <f t="shared" si="61"/>
        <v>80</v>
      </c>
      <c r="AO48" s="30">
        <v>0</v>
      </c>
      <c r="AP48" s="19">
        <v>0.54</v>
      </c>
      <c r="AQ48" s="28">
        <f t="shared" si="40"/>
        <v>799.23500000000001</v>
      </c>
      <c r="AR48" s="29">
        <f t="shared" si="41"/>
        <v>-0.76499999999998636</v>
      </c>
      <c r="AT48" s="36"/>
      <c r="AU48" s="36"/>
      <c r="AW48">
        <f t="shared" si="1"/>
        <v>37</v>
      </c>
      <c r="AX48">
        <f t="shared" si="2"/>
        <v>-20</v>
      </c>
      <c r="AY48">
        <f t="shared" si="3"/>
        <v>780</v>
      </c>
      <c r="AZ48" s="19">
        <v>-738.65499999999997</v>
      </c>
      <c r="BA48" s="2">
        <f t="shared" si="4"/>
        <v>781.34499999999957</v>
      </c>
      <c r="BB48" s="23">
        <f t="shared" si="5"/>
        <v>-19.919999999999959</v>
      </c>
      <c r="BC48" s="6">
        <f t="shared" si="6"/>
        <v>-1.3449999999995725</v>
      </c>
      <c r="BD48" s="12">
        <f t="shared" si="7"/>
        <v>-8.0000000000040927E-2</v>
      </c>
      <c r="BF48" s="20">
        <f t="shared" si="42"/>
        <v>4.9999999999954525E-3</v>
      </c>
      <c r="BH48">
        <f t="shared" si="8"/>
        <v>37</v>
      </c>
      <c r="BI48">
        <f t="shared" si="9"/>
        <v>-20</v>
      </c>
      <c r="BJ48">
        <f t="shared" si="10"/>
        <v>780</v>
      </c>
      <c r="BK48" s="19">
        <v>-738.62</v>
      </c>
      <c r="BL48" s="2">
        <f t="shared" si="11"/>
        <v>781.37999999999931</v>
      </c>
      <c r="BM48" s="23">
        <f t="shared" si="12"/>
        <v>-19.914999999999964</v>
      </c>
      <c r="BN48" s="6">
        <f t="shared" si="13"/>
        <v>-1.3799999999993133</v>
      </c>
      <c r="BO48" s="12">
        <f t="shared" si="14"/>
        <v>-8.500000000003638E-2</v>
      </c>
      <c r="BP48" s="10"/>
      <c r="BQ48" s="35"/>
      <c r="BR48" s="8"/>
      <c r="BS48" s="15">
        <f t="shared" si="15"/>
        <v>73</v>
      </c>
      <c r="BT48" s="15">
        <f t="shared" si="16"/>
        <v>780</v>
      </c>
      <c r="BU48" s="19">
        <v>-738.62</v>
      </c>
      <c r="BV48" s="12">
        <f t="shared" si="17"/>
        <v>781.85500000000002</v>
      </c>
      <c r="BW48" s="12">
        <f t="shared" si="18"/>
        <v>738.14499999999998</v>
      </c>
      <c r="BX48" s="12">
        <f t="shared" si="19"/>
        <v>-740</v>
      </c>
      <c r="BY48" s="27">
        <f t="shared" si="20"/>
        <v>-1.8550000000000182</v>
      </c>
      <c r="BZ48" s="30">
        <f t="shared" si="21"/>
        <v>74</v>
      </c>
      <c r="CA48" s="30">
        <v>0</v>
      </c>
      <c r="CB48">
        <v>-0.48</v>
      </c>
      <c r="CC48" s="40">
        <f t="shared" si="22"/>
        <v>738.14</v>
      </c>
      <c r="CD48" s="40">
        <f t="shared" si="23"/>
        <v>-1.8600000000000136</v>
      </c>
      <c r="CE48" s="40">
        <f t="shared" si="24"/>
        <v>740</v>
      </c>
      <c r="CF48" s="6"/>
      <c r="CG48" s="20">
        <f t="shared" si="43"/>
        <v>4.9999999999954525E-2</v>
      </c>
      <c r="CH48" s="10"/>
      <c r="CI48" s="15">
        <f t="shared" si="25"/>
        <v>73</v>
      </c>
      <c r="CJ48" s="15">
        <f t="shared" si="26"/>
        <v>780</v>
      </c>
      <c r="CK48" s="19">
        <v>-738.67</v>
      </c>
      <c r="CL48" s="12">
        <f t="shared" si="27"/>
        <v>781.77500000000009</v>
      </c>
      <c r="CM48" s="12">
        <f t="shared" si="28"/>
        <v>738.22499999999991</v>
      </c>
      <c r="CN48" s="12">
        <f t="shared" si="29"/>
        <v>-740</v>
      </c>
      <c r="CO48" s="27">
        <f t="shared" si="30"/>
        <v>-1.7750000000000909</v>
      </c>
      <c r="CP48" s="30">
        <f t="shared" si="31"/>
        <v>74</v>
      </c>
      <c r="CQ48" s="30">
        <v>0</v>
      </c>
      <c r="CR48">
        <v>-0.47</v>
      </c>
      <c r="CS48" s="40">
        <f t="shared" si="32"/>
        <v>738.19999999999993</v>
      </c>
      <c r="CT48" s="40">
        <f t="shared" si="33"/>
        <v>-1.8000000000000682</v>
      </c>
      <c r="CU48" s="40">
        <f t="shared" si="34"/>
        <v>740</v>
      </c>
      <c r="DB48" s="19"/>
      <c r="DC48" s="2"/>
      <c r="DD48" s="2"/>
      <c r="DE48" s="6"/>
      <c r="DF48" s="12"/>
      <c r="DG48" s="10"/>
    </row>
    <row r="49" spans="2:111" x14ac:dyDescent="0.45">
      <c r="B49">
        <f t="shared" si="44"/>
        <v>41</v>
      </c>
      <c r="C49">
        <v>20</v>
      </c>
      <c r="D49">
        <f t="shared" si="45"/>
        <v>820</v>
      </c>
      <c r="E49" s="19">
        <v>819.59500000000003</v>
      </c>
      <c r="F49" s="23">
        <f t="shared" si="46"/>
        <v>19.904999999999973</v>
      </c>
      <c r="G49" s="6">
        <f t="shared" si="35"/>
        <v>-0.40499999999997272</v>
      </c>
      <c r="H49" s="12">
        <f t="shared" si="47"/>
        <v>-9.5000000000027285E-2</v>
      </c>
      <c r="J49" s="20">
        <f t="shared" si="91"/>
        <v>9.9999999999909051E-3</v>
      </c>
      <c r="K49" s="2"/>
      <c r="L49">
        <f t="shared" ref="L49" si="100">L48+1</f>
        <v>41</v>
      </c>
      <c r="M49">
        <v>20</v>
      </c>
      <c r="N49">
        <f t="shared" si="49"/>
        <v>820</v>
      </c>
      <c r="O49" s="19">
        <v>819.48</v>
      </c>
      <c r="P49" s="23">
        <f t="shared" si="50"/>
        <v>19.914999999999964</v>
      </c>
      <c r="Q49" s="6">
        <f t="shared" si="36"/>
        <v>-0.51999999999998181</v>
      </c>
      <c r="R49" s="27">
        <f t="shared" si="51"/>
        <v>-8.500000000003638E-2</v>
      </c>
      <c r="S49" s="19"/>
      <c r="T49" s="35"/>
      <c r="U49" s="19"/>
      <c r="V49" s="15">
        <f t="shared" si="52"/>
        <v>81</v>
      </c>
      <c r="W49" s="15">
        <f t="shared" si="53"/>
        <v>820</v>
      </c>
      <c r="X49" s="19">
        <v>819.48500000000001</v>
      </c>
      <c r="Y49" s="12">
        <f t="shared" si="54"/>
        <v>819.08500000000004</v>
      </c>
      <c r="Z49" s="27">
        <f t="shared" si="55"/>
        <v>-0.91499999999996362</v>
      </c>
      <c r="AA49" s="30">
        <f t="shared" si="56"/>
        <v>82</v>
      </c>
      <c r="AB49" s="30">
        <v>0</v>
      </c>
      <c r="AC49" s="19">
        <v>0.4</v>
      </c>
      <c r="AD49" s="28">
        <f t="shared" si="37"/>
        <v>819.08500000000004</v>
      </c>
      <c r="AE49" s="29">
        <f t="shared" si="38"/>
        <v>-0.91499999999996362</v>
      </c>
      <c r="AF49" s="19"/>
      <c r="AG49" s="20">
        <f t="shared" si="39"/>
        <v>0.23000000000001819</v>
      </c>
      <c r="AI49" s="15">
        <f t="shared" si="57"/>
        <v>81</v>
      </c>
      <c r="AJ49" s="15">
        <f t="shared" si="58"/>
        <v>820</v>
      </c>
      <c r="AK49" s="19">
        <v>819.71500000000003</v>
      </c>
      <c r="AL49" s="12">
        <f t="shared" si="59"/>
        <v>819.17500000000007</v>
      </c>
      <c r="AM49" s="27">
        <f t="shared" si="60"/>
        <v>-0.82499999999993179</v>
      </c>
      <c r="AN49" s="30">
        <f t="shared" si="61"/>
        <v>82</v>
      </c>
      <c r="AO49" s="30">
        <v>0</v>
      </c>
      <c r="AP49" s="19">
        <v>0.54500000000000004</v>
      </c>
      <c r="AQ49" s="28">
        <f t="shared" si="40"/>
        <v>819.17000000000007</v>
      </c>
      <c r="AR49" s="29">
        <f t="shared" si="41"/>
        <v>-0.82999999999992724</v>
      </c>
      <c r="AT49" s="36"/>
      <c r="AU49" s="36"/>
      <c r="AW49">
        <f t="shared" si="1"/>
        <v>36</v>
      </c>
      <c r="AX49">
        <f t="shared" si="2"/>
        <v>-20</v>
      </c>
      <c r="AY49">
        <f t="shared" si="3"/>
        <v>800</v>
      </c>
      <c r="AZ49" s="19">
        <v>-718.73500000000001</v>
      </c>
      <c r="BA49" s="2">
        <f t="shared" si="4"/>
        <v>801.26499999999953</v>
      </c>
      <c r="BB49" s="23">
        <f t="shared" si="5"/>
        <v>-19.980000000000018</v>
      </c>
      <c r="BC49" s="6">
        <f t="shared" si="6"/>
        <v>-1.2649999999995316</v>
      </c>
      <c r="BD49" s="12">
        <f t="shared" si="7"/>
        <v>-1.999999999998181E-2</v>
      </c>
      <c r="BF49" s="20">
        <f t="shared" si="42"/>
        <v>2.9999999999972715E-2</v>
      </c>
      <c r="BH49">
        <f t="shared" si="8"/>
        <v>36</v>
      </c>
      <c r="BI49">
        <f t="shared" si="9"/>
        <v>-20</v>
      </c>
      <c r="BJ49">
        <f t="shared" si="10"/>
        <v>800</v>
      </c>
      <c r="BK49" s="19">
        <v>-718.70500000000004</v>
      </c>
      <c r="BL49" s="2">
        <f t="shared" si="11"/>
        <v>801.29499999999928</v>
      </c>
      <c r="BM49" s="23">
        <f t="shared" si="12"/>
        <v>-19.950000000000045</v>
      </c>
      <c r="BN49" s="6">
        <f t="shared" si="13"/>
        <v>-1.294999999999277</v>
      </c>
      <c r="BO49" s="12">
        <f t="shared" si="14"/>
        <v>-4.9999999999954525E-2</v>
      </c>
      <c r="BP49" s="10"/>
      <c r="BQ49" s="35"/>
      <c r="BR49" s="8"/>
      <c r="BS49" s="15">
        <f t="shared" si="15"/>
        <v>71</v>
      </c>
      <c r="BT49" s="15">
        <f t="shared" si="16"/>
        <v>800</v>
      </c>
      <c r="BU49" s="19">
        <v>-718.70500000000004</v>
      </c>
      <c r="BV49" s="12">
        <f t="shared" si="17"/>
        <v>801.76499999999999</v>
      </c>
      <c r="BW49" s="12">
        <f t="shared" si="18"/>
        <v>718.23500000000001</v>
      </c>
      <c r="BX49" s="12">
        <f t="shared" si="19"/>
        <v>-720</v>
      </c>
      <c r="BY49" s="27">
        <f t="shared" si="20"/>
        <v>-1.7649999999999864</v>
      </c>
      <c r="BZ49" s="30">
        <f t="shared" si="21"/>
        <v>72</v>
      </c>
      <c r="CA49" s="30">
        <v>0</v>
      </c>
      <c r="CB49">
        <v>-0.47499999999999998</v>
      </c>
      <c r="CC49" s="40">
        <f t="shared" si="22"/>
        <v>718.23</v>
      </c>
      <c r="CD49" s="40">
        <f t="shared" si="23"/>
        <v>-1.7699999999999818</v>
      </c>
      <c r="CE49" s="40">
        <f t="shared" si="24"/>
        <v>720</v>
      </c>
      <c r="CF49" s="6"/>
      <c r="CG49" s="20">
        <f t="shared" si="43"/>
        <v>4.9999999999954525E-3</v>
      </c>
      <c r="CH49" s="10"/>
      <c r="CI49" s="15">
        <f t="shared" si="25"/>
        <v>71</v>
      </c>
      <c r="CJ49" s="15">
        <f t="shared" si="26"/>
        <v>800</v>
      </c>
      <c r="CK49" s="19">
        <v>-718.71</v>
      </c>
      <c r="CL49" s="12">
        <f t="shared" si="27"/>
        <v>801.73</v>
      </c>
      <c r="CM49" s="12">
        <f t="shared" si="28"/>
        <v>718.27</v>
      </c>
      <c r="CN49" s="12">
        <f t="shared" si="29"/>
        <v>-720</v>
      </c>
      <c r="CO49" s="27">
        <f t="shared" si="30"/>
        <v>-1.7300000000000182</v>
      </c>
      <c r="CP49" s="30">
        <f t="shared" si="31"/>
        <v>72</v>
      </c>
      <c r="CQ49" s="30">
        <v>0</v>
      </c>
      <c r="CR49">
        <v>-0.44500000000000001</v>
      </c>
      <c r="CS49" s="40">
        <f t="shared" si="32"/>
        <v>718.26499999999999</v>
      </c>
      <c r="CT49" s="40">
        <f t="shared" si="33"/>
        <v>-1.7350000000000136</v>
      </c>
      <c r="CU49" s="40">
        <f t="shared" si="34"/>
        <v>720</v>
      </c>
      <c r="DB49" s="19"/>
      <c r="DC49" s="2"/>
      <c r="DD49" s="2"/>
      <c r="DE49" s="6"/>
      <c r="DF49" s="12"/>
      <c r="DG49" s="10"/>
    </row>
    <row r="50" spans="2:111" x14ac:dyDescent="0.45">
      <c r="B50">
        <f t="shared" si="44"/>
        <v>42</v>
      </c>
      <c r="C50">
        <v>20</v>
      </c>
      <c r="D50">
        <f t="shared" si="45"/>
        <v>840</v>
      </c>
      <c r="E50" s="19">
        <v>839.59</v>
      </c>
      <c r="F50" s="23">
        <f t="shared" si="46"/>
        <v>19.995000000000005</v>
      </c>
      <c r="G50" s="6">
        <f t="shared" si="35"/>
        <v>-0.40999999999996817</v>
      </c>
      <c r="H50" s="12">
        <f t="shared" si="47"/>
        <v>-4.9999999999954525E-3</v>
      </c>
      <c r="J50" s="20">
        <f t="shared" si="91"/>
        <v>-2.4999999999977263E-2</v>
      </c>
      <c r="K50" s="2"/>
      <c r="L50">
        <f t="shared" ref="L50" si="101">L49+1</f>
        <v>42</v>
      </c>
      <c r="M50">
        <v>20</v>
      </c>
      <c r="N50">
        <f t="shared" si="49"/>
        <v>840</v>
      </c>
      <c r="O50" s="19">
        <v>839.45</v>
      </c>
      <c r="P50" s="23">
        <f t="shared" si="50"/>
        <v>19.970000000000027</v>
      </c>
      <c r="Q50" s="6">
        <f t="shared" si="36"/>
        <v>-0.54999999999995453</v>
      </c>
      <c r="R50" s="27">
        <f t="shared" si="51"/>
        <v>-2.9999999999972715E-2</v>
      </c>
      <c r="S50" s="19"/>
      <c r="T50" s="35"/>
      <c r="U50" s="19"/>
      <c r="V50" s="15">
        <f t="shared" si="52"/>
        <v>83</v>
      </c>
      <c r="W50" s="15">
        <f t="shared" si="53"/>
        <v>840</v>
      </c>
      <c r="X50" s="19">
        <v>839.47500000000002</v>
      </c>
      <c r="Y50" s="12">
        <f t="shared" si="54"/>
        <v>839.07500000000005</v>
      </c>
      <c r="Z50" s="27">
        <f t="shared" si="55"/>
        <v>-0.92499999999995453</v>
      </c>
      <c r="AA50" s="30">
        <f t="shared" si="56"/>
        <v>84</v>
      </c>
      <c r="AB50" s="30">
        <v>0</v>
      </c>
      <c r="AC50" s="19">
        <v>0.40500000000000003</v>
      </c>
      <c r="AD50" s="28">
        <f t="shared" si="37"/>
        <v>839.07</v>
      </c>
      <c r="AE50" s="29">
        <f t="shared" si="38"/>
        <v>-0.92999999999994998</v>
      </c>
      <c r="AF50" s="19"/>
      <c r="AG50" s="20">
        <f t="shared" si="39"/>
        <v>0.19499999999993634</v>
      </c>
      <c r="AI50" s="15">
        <f t="shared" si="57"/>
        <v>83</v>
      </c>
      <c r="AJ50" s="15">
        <f t="shared" si="58"/>
        <v>840</v>
      </c>
      <c r="AK50" s="19">
        <v>839.67</v>
      </c>
      <c r="AL50" s="12">
        <f t="shared" si="59"/>
        <v>839.125</v>
      </c>
      <c r="AM50" s="27">
        <f t="shared" si="60"/>
        <v>-0.875</v>
      </c>
      <c r="AN50" s="30">
        <f t="shared" si="61"/>
        <v>84</v>
      </c>
      <c r="AO50" s="30">
        <v>0</v>
      </c>
      <c r="AP50" s="19">
        <v>0.54500000000000004</v>
      </c>
      <c r="AQ50" s="28">
        <f t="shared" si="40"/>
        <v>839.125</v>
      </c>
      <c r="AR50" s="29">
        <f t="shared" si="41"/>
        <v>-0.875</v>
      </c>
      <c r="AT50" s="36"/>
      <c r="AU50" s="36"/>
      <c r="AW50">
        <f t="shared" si="1"/>
        <v>35</v>
      </c>
      <c r="AX50">
        <f t="shared" si="2"/>
        <v>-20</v>
      </c>
      <c r="AY50">
        <f t="shared" si="3"/>
        <v>820</v>
      </c>
      <c r="AZ50" s="3">
        <v>-698.755</v>
      </c>
      <c r="BA50" s="3">
        <f t="shared" si="4"/>
        <v>821.24499999999955</v>
      </c>
      <c r="BB50" s="23">
        <f>AZ50-AZ51</f>
        <v>-19.980000000000018</v>
      </c>
      <c r="BC50" s="6">
        <f t="shared" si="6"/>
        <v>-1.2449999999995498</v>
      </c>
      <c r="BD50" s="12">
        <f t="shared" si="7"/>
        <v>-1.999999999998181E-2</v>
      </c>
      <c r="BF50" s="20">
        <f t="shared" si="42"/>
        <v>-1.999999999998181E-2</v>
      </c>
      <c r="BH50">
        <f t="shared" si="8"/>
        <v>35</v>
      </c>
      <c r="BI50">
        <f t="shared" si="9"/>
        <v>-20</v>
      </c>
      <c r="BJ50">
        <f t="shared" si="10"/>
        <v>820</v>
      </c>
      <c r="BK50" s="19">
        <v>-698.755</v>
      </c>
      <c r="BL50" s="3">
        <f t="shared" si="11"/>
        <v>821.24499999999932</v>
      </c>
      <c r="BM50" s="23">
        <f>BK50-BK51</f>
        <v>-20</v>
      </c>
      <c r="BN50" s="6">
        <f t="shared" si="13"/>
        <v>-1.2449999999993224</v>
      </c>
      <c r="BO50" s="12">
        <f t="shared" si="14"/>
        <v>0</v>
      </c>
      <c r="BP50" s="10"/>
      <c r="BQ50" s="35"/>
      <c r="BR50" s="8"/>
      <c r="BS50" s="15">
        <f t="shared" si="15"/>
        <v>69</v>
      </c>
      <c r="BT50" s="15">
        <f t="shared" si="16"/>
        <v>820</v>
      </c>
      <c r="BU50" s="19">
        <v>-698.755</v>
      </c>
      <c r="BV50" s="12">
        <f t="shared" si="17"/>
        <v>821.70500000000004</v>
      </c>
      <c r="BW50" s="12">
        <f t="shared" si="18"/>
        <v>698.29499999999996</v>
      </c>
      <c r="BX50" s="12">
        <f t="shared" si="19"/>
        <v>-700</v>
      </c>
      <c r="BY50" s="27">
        <f t="shared" si="20"/>
        <v>-1.7050000000000409</v>
      </c>
      <c r="BZ50" s="30">
        <f t="shared" si="21"/>
        <v>70</v>
      </c>
      <c r="CA50" s="30">
        <v>0</v>
      </c>
      <c r="CB50">
        <v>-0.47</v>
      </c>
      <c r="CC50" s="40">
        <f t="shared" si="22"/>
        <v>698.28499999999997</v>
      </c>
      <c r="CD50" s="40">
        <f t="shared" si="23"/>
        <v>-1.7150000000000318</v>
      </c>
      <c r="CE50" s="40">
        <f t="shared" si="24"/>
        <v>700</v>
      </c>
      <c r="CF50" s="6"/>
      <c r="CG50" s="20">
        <f t="shared" si="43"/>
        <v>-1.999999999998181E-2</v>
      </c>
      <c r="CH50" s="10"/>
      <c r="CI50" s="15">
        <f t="shared" si="25"/>
        <v>69</v>
      </c>
      <c r="CJ50" s="15">
        <f t="shared" si="26"/>
        <v>820</v>
      </c>
      <c r="CK50" s="19">
        <v>-698.73500000000001</v>
      </c>
      <c r="CL50" s="12">
        <f t="shared" si="27"/>
        <v>821.68499999999995</v>
      </c>
      <c r="CM50" s="12">
        <f t="shared" si="28"/>
        <v>698.31500000000005</v>
      </c>
      <c r="CN50" s="12">
        <f t="shared" si="29"/>
        <v>-700</v>
      </c>
      <c r="CO50" s="27">
        <f t="shared" si="30"/>
        <v>-1.6849999999999454</v>
      </c>
      <c r="CP50" s="30">
        <f t="shared" si="31"/>
        <v>70</v>
      </c>
      <c r="CQ50" s="30">
        <v>0</v>
      </c>
      <c r="CR50">
        <v>-0.44</v>
      </c>
      <c r="CS50" s="40">
        <f t="shared" si="32"/>
        <v>698.29499999999996</v>
      </c>
      <c r="CT50" s="40">
        <f t="shared" si="33"/>
        <v>-1.7050000000000409</v>
      </c>
      <c r="CU50" s="40">
        <f t="shared" si="34"/>
        <v>700</v>
      </c>
    </row>
    <row r="51" spans="2:111" x14ac:dyDescent="0.45">
      <c r="B51">
        <f t="shared" si="44"/>
        <v>43</v>
      </c>
      <c r="C51">
        <v>20</v>
      </c>
      <c r="D51">
        <f t="shared" si="45"/>
        <v>860</v>
      </c>
      <c r="E51" s="19">
        <v>859.57</v>
      </c>
      <c r="F51" s="23">
        <f t="shared" si="46"/>
        <v>19.980000000000018</v>
      </c>
      <c r="G51" s="6">
        <f t="shared" si="35"/>
        <v>-0.42999999999994998</v>
      </c>
      <c r="H51" s="12">
        <f t="shared" si="47"/>
        <v>-1.999999999998181E-2</v>
      </c>
      <c r="J51" s="20">
        <f t="shared" si="91"/>
        <v>1.4999999999986358E-2</v>
      </c>
      <c r="K51" s="2"/>
      <c r="L51">
        <f t="shared" ref="L51" si="102">L50+1</f>
        <v>43</v>
      </c>
      <c r="M51">
        <v>20</v>
      </c>
      <c r="N51">
        <f t="shared" si="49"/>
        <v>860</v>
      </c>
      <c r="O51" s="19">
        <v>859.44500000000005</v>
      </c>
      <c r="P51" s="23">
        <f t="shared" si="50"/>
        <v>19.995000000000005</v>
      </c>
      <c r="Q51" s="6">
        <f t="shared" si="36"/>
        <v>-0.55499999999994998</v>
      </c>
      <c r="R51" s="27">
        <f t="shared" si="51"/>
        <v>-4.9999999999954525E-3</v>
      </c>
      <c r="S51" s="19"/>
      <c r="T51" s="35"/>
      <c r="U51" s="19"/>
      <c r="V51" s="15">
        <f t="shared" si="52"/>
        <v>85</v>
      </c>
      <c r="W51" s="15">
        <f t="shared" si="53"/>
        <v>860</v>
      </c>
      <c r="X51" s="19">
        <v>859.47500000000002</v>
      </c>
      <c r="Y51" s="12">
        <f t="shared" si="54"/>
        <v>859.07</v>
      </c>
      <c r="Z51" s="27">
        <f t="shared" si="55"/>
        <v>-0.92999999999994998</v>
      </c>
      <c r="AA51" s="30">
        <f t="shared" si="56"/>
        <v>86</v>
      </c>
      <c r="AB51" s="30">
        <v>0</v>
      </c>
      <c r="AC51" s="19">
        <v>0.40500000000000003</v>
      </c>
      <c r="AD51" s="28">
        <f t="shared" si="37"/>
        <v>859.07</v>
      </c>
      <c r="AE51" s="29">
        <f t="shared" si="38"/>
        <v>-0.92999999999994998</v>
      </c>
      <c r="AF51" s="19"/>
      <c r="AG51" s="20">
        <f t="shared" si="39"/>
        <v>0.16999999999995907</v>
      </c>
      <c r="AI51" s="15">
        <f t="shared" si="57"/>
        <v>85</v>
      </c>
      <c r="AJ51" s="15">
        <f t="shared" si="58"/>
        <v>860</v>
      </c>
      <c r="AK51" s="19">
        <v>859.64499999999998</v>
      </c>
      <c r="AL51" s="12">
        <f t="shared" si="59"/>
        <v>859.1</v>
      </c>
      <c r="AM51" s="27">
        <f t="shared" si="60"/>
        <v>-0.89999999999997726</v>
      </c>
      <c r="AN51" s="30">
        <f t="shared" si="61"/>
        <v>86</v>
      </c>
      <c r="AO51" s="30">
        <v>0</v>
      </c>
      <c r="AP51" s="19">
        <v>0.54</v>
      </c>
      <c r="AQ51" s="28">
        <f t="shared" si="40"/>
        <v>859.10500000000002</v>
      </c>
      <c r="AR51" s="29">
        <f t="shared" si="41"/>
        <v>-0.89499999999998181</v>
      </c>
      <c r="AT51" s="36"/>
      <c r="AU51" s="36"/>
      <c r="AW51">
        <f t="shared" si="1"/>
        <v>34</v>
      </c>
      <c r="AX51">
        <f t="shared" si="2"/>
        <v>-20</v>
      </c>
      <c r="AY51">
        <f t="shared" si="3"/>
        <v>840</v>
      </c>
      <c r="AZ51" s="19">
        <v>-678.77499999999998</v>
      </c>
      <c r="BA51" s="2">
        <f t="shared" si="4"/>
        <v>841.22499999999957</v>
      </c>
      <c r="BB51" s="23">
        <f>AZ51-AZ52</f>
        <v>-20</v>
      </c>
      <c r="BC51" s="6">
        <f t="shared" si="6"/>
        <v>-1.224999999999568</v>
      </c>
      <c r="BD51" s="12">
        <f t="shared" si="7"/>
        <v>0</v>
      </c>
      <c r="BF51" s="20">
        <f t="shared" si="42"/>
        <v>9.9999999999909051E-3</v>
      </c>
      <c r="BH51">
        <f t="shared" si="8"/>
        <v>34</v>
      </c>
      <c r="BI51">
        <f t="shared" si="9"/>
        <v>-20</v>
      </c>
      <c r="BJ51">
        <f t="shared" si="10"/>
        <v>840</v>
      </c>
      <c r="BK51" s="19">
        <v>-678.755</v>
      </c>
      <c r="BL51" s="2">
        <f t="shared" si="11"/>
        <v>841.24499999999932</v>
      </c>
      <c r="BM51" s="23">
        <f>BK51-BK52</f>
        <v>-19.990000000000009</v>
      </c>
      <c r="BN51" s="6">
        <f t="shared" si="13"/>
        <v>-1.2449999999993224</v>
      </c>
      <c r="BO51" s="12">
        <f t="shared" si="14"/>
        <v>-9.9999999999909051E-3</v>
      </c>
      <c r="BP51" s="10"/>
      <c r="BQ51" s="35"/>
      <c r="BR51" s="8"/>
      <c r="BS51" s="15">
        <f t="shared" si="15"/>
        <v>67</v>
      </c>
      <c r="BT51" s="15">
        <f t="shared" si="16"/>
        <v>840</v>
      </c>
      <c r="BU51" s="19">
        <v>-678.755</v>
      </c>
      <c r="BV51" s="12">
        <f t="shared" si="17"/>
        <v>841.71500000000003</v>
      </c>
      <c r="BW51" s="12">
        <f t="shared" si="18"/>
        <v>678.28499999999997</v>
      </c>
      <c r="BX51" s="12">
        <f t="shared" si="19"/>
        <v>-680</v>
      </c>
      <c r="BY51" s="27">
        <f t="shared" si="20"/>
        <v>-1.7150000000000318</v>
      </c>
      <c r="BZ51" s="30">
        <f t="shared" si="21"/>
        <v>68</v>
      </c>
      <c r="CA51" s="30">
        <v>0</v>
      </c>
      <c r="CB51">
        <v>-0.46</v>
      </c>
      <c r="CC51" s="40">
        <f t="shared" si="22"/>
        <v>678.29499999999996</v>
      </c>
      <c r="CD51" s="40">
        <f t="shared" si="23"/>
        <v>-1.7050000000000409</v>
      </c>
      <c r="CE51" s="40">
        <f t="shared" si="24"/>
        <v>680</v>
      </c>
      <c r="CF51" s="6"/>
      <c r="CG51" s="20">
        <f t="shared" si="43"/>
        <v>4.9999999999954525E-3</v>
      </c>
      <c r="CH51" s="10"/>
      <c r="CI51" s="15">
        <f t="shared" si="25"/>
        <v>67</v>
      </c>
      <c r="CJ51" s="15">
        <f t="shared" si="26"/>
        <v>840</v>
      </c>
      <c r="CK51" s="19">
        <v>-678.76</v>
      </c>
      <c r="CL51" s="12">
        <f t="shared" si="27"/>
        <v>841.67499999999995</v>
      </c>
      <c r="CM51" s="12">
        <f t="shared" si="28"/>
        <v>678.32500000000005</v>
      </c>
      <c r="CN51" s="12">
        <f t="shared" si="29"/>
        <v>-680</v>
      </c>
      <c r="CO51" s="27">
        <f t="shared" si="30"/>
        <v>-1.6749999999999545</v>
      </c>
      <c r="CP51" s="30">
        <f t="shared" si="31"/>
        <v>68</v>
      </c>
      <c r="CQ51" s="30">
        <v>0</v>
      </c>
      <c r="CR51">
        <v>-0.42</v>
      </c>
      <c r="CS51" s="40">
        <f t="shared" si="32"/>
        <v>678.34</v>
      </c>
      <c r="CT51" s="40">
        <f t="shared" si="33"/>
        <v>-1.6599999999999682</v>
      </c>
      <c r="CU51" s="40">
        <f t="shared" si="34"/>
        <v>680</v>
      </c>
    </row>
    <row r="52" spans="2:111" x14ac:dyDescent="0.45">
      <c r="B52">
        <f t="shared" si="44"/>
        <v>44</v>
      </c>
      <c r="C52">
        <v>20</v>
      </c>
      <c r="D52">
        <f t="shared" si="45"/>
        <v>880</v>
      </c>
      <c r="E52" s="19">
        <v>879.59</v>
      </c>
      <c r="F52" s="23">
        <f t="shared" si="46"/>
        <v>20.019999999999982</v>
      </c>
      <c r="G52" s="6">
        <f t="shared" si="35"/>
        <v>-0.40999999999996817</v>
      </c>
      <c r="H52" s="12">
        <f t="shared" si="47"/>
        <v>1.999999999998181E-2</v>
      </c>
      <c r="J52" s="20">
        <f t="shared" si="91"/>
        <v>2.9999999999972715E-2</v>
      </c>
      <c r="K52" s="2"/>
      <c r="L52">
        <f t="shared" ref="L52" si="103">L51+1</f>
        <v>44</v>
      </c>
      <c r="M52">
        <v>20</v>
      </c>
      <c r="N52">
        <f t="shared" si="49"/>
        <v>880</v>
      </c>
      <c r="O52" s="19">
        <v>879.495</v>
      </c>
      <c r="P52" s="23">
        <f t="shared" si="50"/>
        <v>20.049999999999955</v>
      </c>
      <c r="Q52" s="6">
        <f t="shared" si="36"/>
        <v>-0.50499999999999545</v>
      </c>
      <c r="R52" s="27">
        <f t="shared" si="51"/>
        <v>4.9999999999954525E-2</v>
      </c>
      <c r="S52" s="19"/>
      <c r="T52" s="35"/>
      <c r="U52" s="19"/>
      <c r="V52" s="15">
        <f t="shared" si="52"/>
        <v>87</v>
      </c>
      <c r="W52" s="15">
        <f t="shared" si="53"/>
        <v>880</v>
      </c>
      <c r="X52" s="19">
        <v>879.52499999999998</v>
      </c>
      <c r="Y52" s="12">
        <f t="shared" si="54"/>
        <v>879.12</v>
      </c>
      <c r="Z52" s="27">
        <f t="shared" si="55"/>
        <v>-0.87999999999999545</v>
      </c>
      <c r="AA52" s="30">
        <f t="shared" si="56"/>
        <v>88</v>
      </c>
      <c r="AB52" s="30">
        <v>0</v>
      </c>
      <c r="AC52" s="19">
        <v>0.40500000000000003</v>
      </c>
      <c r="AD52" s="28">
        <f t="shared" si="37"/>
        <v>879.12</v>
      </c>
      <c r="AE52" s="29">
        <f t="shared" si="38"/>
        <v>-0.87999999999999545</v>
      </c>
      <c r="AF52" s="19"/>
      <c r="AG52" s="20">
        <f t="shared" si="39"/>
        <v>0.18000000000006366</v>
      </c>
      <c r="AI52" s="15">
        <f t="shared" si="57"/>
        <v>87</v>
      </c>
      <c r="AJ52" s="15">
        <f t="shared" si="58"/>
        <v>880</v>
      </c>
      <c r="AK52" s="19">
        <v>879.70500000000004</v>
      </c>
      <c r="AL52" s="12">
        <f t="shared" si="59"/>
        <v>879.16500000000008</v>
      </c>
      <c r="AM52" s="27">
        <f t="shared" si="60"/>
        <v>-0.83499999999992269</v>
      </c>
      <c r="AN52" s="30">
        <f t="shared" si="61"/>
        <v>88</v>
      </c>
      <c r="AO52" s="30">
        <v>0</v>
      </c>
      <c r="AP52" s="19">
        <v>0.55500000000000005</v>
      </c>
      <c r="AQ52" s="28">
        <f t="shared" si="40"/>
        <v>879.15000000000009</v>
      </c>
      <c r="AR52" s="29">
        <f t="shared" si="41"/>
        <v>-0.84999999999990905</v>
      </c>
      <c r="AT52" s="36"/>
      <c r="AU52" s="36"/>
      <c r="AW52">
        <f t="shared" si="1"/>
        <v>33</v>
      </c>
      <c r="AX52">
        <f t="shared" si="2"/>
        <v>-20</v>
      </c>
      <c r="AY52">
        <f t="shared" si="3"/>
        <v>860</v>
      </c>
      <c r="AZ52" s="19">
        <v>-658.77499999999998</v>
      </c>
      <c r="BA52" s="2">
        <f t="shared" si="4"/>
        <v>861.22499999999957</v>
      </c>
      <c r="BB52" s="23">
        <f t="shared" si="5"/>
        <v>-20.009999999999991</v>
      </c>
      <c r="BC52" s="6">
        <f t="shared" si="6"/>
        <v>-1.224999999999568</v>
      </c>
      <c r="BD52" s="12">
        <f t="shared" si="7"/>
        <v>9.9999999999909051E-3</v>
      </c>
      <c r="BF52" s="20">
        <f t="shared" si="42"/>
        <v>-2.4999999999977263E-2</v>
      </c>
      <c r="BH52">
        <f t="shared" si="8"/>
        <v>33</v>
      </c>
      <c r="BI52">
        <f t="shared" si="9"/>
        <v>-20</v>
      </c>
      <c r="BJ52">
        <f t="shared" si="10"/>
        <v>860</v>
      </c>
      <c r="BK52" s="19">
        <v>-658.76499999999999</v>
      </c>
      <c r="BL52" s="2">
        <f t="shared" si="11"/>
        <v>861.23499999999933</v>
      </c>
      <c r="BM52" s="23">
        <f t="shared" ref="BM52:BM82" si="104">BK52-BK53</f>
        <v>-20.034999999999968</v>
      </c>
      <c r="BN52" s="6">
        <f t="shared" si="13"/>
        <v>-1.2349999999993315</v>
      </c>
      <c r="BO52" s="12">
        <f t="shared" si="14"/>
        <v>3.4999999999968168E-2</v>
      </c>
      <c r="BP52" s="10"/>
      <c r="BQ52" s="35"/>
      <c r="BR52" s="8"/>
      <c r="BS52" s="15">
        <f t="shared" si="15"/>
        <v>65</v>
      </c>
      <c r="BT52" s="15">
        <f t="shared" si="16"/>
        <v>860</v>
      </c>
      <c r="BU52" s="19">
        <v>-658.76499999999999</v>
      </c>
      <c r="BV52" s="12">
        <f t="shared" si="17"/>
        <v>861.70500000000004</v>
      </c>
      <c r="BW52" s="12">
        <f t="shared" si="18"/>
        <v>658.29499999999996</v>
      </c>
      <c r="BX52" s="12">
        <f t="shared" si="19"/>
        <v>-660</v>
      </c>
      <c r="BY52" s="27">
        <f t="shared" si="20"/>
        <v>-1.7050000000000409</v>
      </c>
      <c r="BZ52" s="30">
        <f t="shared" si="21"/>
        <v>66</v>
      </c>
      <c r="CA52" s="30">
        <v>0</v>
      </c>
      <c r="CB52">
        <v>-0.47</v>
      </c>
      <c r="CC52" s="40">
        <f t="shared" si="22"/>
        <v>658.29499999999996</v>
      </c>
      <c r="CD52" s="40">
        <f t="shared" si="23"/>
        <v>-1.7050000000000409</v>
      </c>
      <c r="CE52" s="40">
        <f t="shared" si="24"/>
        <v>660</v>
      </c>
      <c r="CF52" s="6"/>
      <c r="CG52" s="20">
        <f t="shared" si="43"/>
        <v>0</v>
      </c>
      <c r="CH52" s="10"/>
      <c r="CI52" s="15">
        <f t="shared" si="25"/>
        <v>65</v>
      </c>
      <c r="CJ52" s="15">
        <f t="shared" si="26"/>
        <v>860</v>
      </c>
      <c r="CK52" s="19">
        <v>-658.76499999999999</v>
      </c>
      <c r="CL52" s="12">
        <f t="shared" si="27"/>
        <v>861.66499999999996</v>
      </c>
      <c r="CM52" s="12">
        <f t="shared" si="28"/>
        <v>658.33500000000004</v>
      </c>
      <c r="CN52" s="12">
        <f t="shared" si="29"/>
        <v>-660</v>
      </c>
      <c r="CO52" s="27">
        <f t="shared" si="30"/>
        <v>-1.6649999999999636</v>
      </c>
      <c r="CP52" s="30">
        <f t="shared" si="31"/>
        <v>66</v>
      </c>
      <c r="CQ52" s="30">
        <v>0</v>
      </c>
      <c r="CR52">
        <v>-0.435</v>
      </c>
      <c r="CS52" s="40">
        <f t="shared" si="32"/>
        <v>658.33</v>
      </c>
      <c r="CT52" s="40">
        <f t="shared" si="33"/>
        <v>-1.6699999999999591</v>
      </c>
      <c r="CU52" s="40">
        <f t="shared" si="34"/>
        <v>660</v>
      </c>
      <c r="DB52" s="19"/>
      <c r="DC52" s="2"/>
      <c r="DD52" s="2"/>
      <c r="DE52" s="6"/>
      <c r="DF52" s="12"/>
      <c r="DG52" s="10"/>
    </row>
    <row r="53" spans="2:111" x14ac:dyDescent="0.45">
      <c r="B53">
        <f t="shared" si="44"/>
        <v>45</v>
      </c>
      <c r="C53">
        <v>20</v>
      </c>
      <c r="D53">
        <f t="shared" si="45"/>
        <v>900</v>
      </c>
      <c r="E53" s="19">
        <v>899.62</v>
      </c>
      <c r="F53" s="23">
        <f t="shared" si="46"/>
        <v>20.029999999999973</v>
      </c>
      <c r="G53" s="6">
        <f t="shared" si="35"/>
        <v>-0.37999999999999545</v>
      </c>
      <c r="H53" s="12">
        <f t="shared" si="47"/>
        <v>2.9999999999972715E-2</v>
      </c>
      <c r="J53" s="20">
        <f t="shared" si="91"/>
        <v>-1.4999999999986358E-2</v>
      </c>
      <c r="K53" s="2"/>
      <c r="L53">
        <f t="shared" ref="L53" si="105">L52+1</f>
        <v>45</v>
      </c>
      <c r="M53">
        <v>20</v>
      </c>
      <c r="N53">
        <f t="shared" si="49"/>
        <v>900</v>
      </c>
      <c r="O53" s="19">
        <v>899.51</v>
      </c>
      <c r="P53" s="23">
        <f t="shared" si="50"/>
        <v>20.014999999999986</v>
      </c>
      <c r="Q53" s="6">
        <f t="shared" si="36"/>
        <v>-0.49000000000000909</v>
      </c>
      <c r="R53" s="27">
        <f t="shared" si="51"/>
        <v>1.4999999999986358E-2</v>
      </c>
      <c r="S53" s="19"/>
      <c r="T53" s="35"/>
      <c r="U53" s="19"/>
      <c r="V53" s="15">
        <f t="shared" si="52"/>
        <v>89</v>
      </c>
      <c r="W53" s="15">
        <f t="shared" si="53"/>
        <v>900</v>
      </c>
      <c r="X53" s="19">
        <v>899.53</v>
      </c>
      <c r="Y53" s="12">
        <f t="shared" si="54"/>
        <v>899.125</v>
      </c>
      <c r="Z53" s="27">
        <f t="shared" si="55"/>
        <v>-0.875</v>
      </c>
      <c r="AA53" s="30">
        <f t="shared" si="56"/>
        <v>90</v>
      </c>
      <c r="AB53" s="30">
        <v>0</v>
      </c>
      <c r="AC53" s="19">
        <v>0.40500000000000003</v>
      </c>
      <c r="AD53" s="28">
        <f t="shared" si="37"/>
        <v>899.125</v>
      </c>
      <c r="AE53" s="29">
        <f t="shared" si="38"/>
        <v>-0.875</v>
      </c>
      <c r="AF53" s="19"/>
      <c r="AG53" s="20">
        <f t="shared" si="39"/>
        <v>0.20000000000004547</v>
      </c>
      <c r="AI53" s="15">
        <f t="shared" si="57"/>
        <v>89</v>
      </c>
      <c r="AJ53" s="15">
        <f t="shared" si="58"/>
        <v>900</v>
      </c>
      <c r="AK53" s="19">
        <v>899.73</v>
      </c>
      <c r="AL53" s="12">
        <f t="shared" si="59"/>
        <v>899.17500000000007</v>
      </c>
      <c r="AM53" s="27">
        <f t="shared" si="60"/>
        <v>-0.82499999999993179</v>
      </c>
      <c r="AN53" s="30">
        <f t="shared" si="61"/>
        <v>90</v>
      </c>
      <c r="AO53" s="30">
        <v>0</v>
      </c>
      <c r="AP53" s="19">
        <v>0.54500000000000004</v>
      </c>
      <c r="AQ53" s="28">
        <f t="shared" si="40"/>
        <v>899.18500000000006</v>
      </c>
      <c r="AR53" s="29">
        <f t="shared" si="41"/>
        <v>-0.81499999999994088</v>
      </c>
      <c r="AT53" s="36"/>
      <c r="AU53" s="36"/>
      <c r="AW53">
        <f t="shared" si="1"/>
        <v>32</v>
      </c>
      <c r="AX53">
        <f t="shared" si="2"/>
        <v>-20</v>
      </c>
      <c r="AY53">
        <f t="shared" si="3"/>
        <v>880</v>
      </c>
      <c r="AZ53" s="19">
        <v>-638.76499999999999</v>
      </c>
      <c r="BA53" s="2">
        <f t="shared" si="4"/>
        <v>881.23499999999956</v>
      </c>
      <c r="BB53" s="23">
        <f t="shared" si="5"/>
        <v>-19.990000000000009</v>
      </c>
      <c r="BC53" s="6">
        <f t="shared" si="6"/>
        <v>-1.2349999999995589</v>
      </c>
      <c r="BD53" s="12">
        <f t="shared" si="7"/>
        <v>-9.9999999999909051E-3</v>
      </c>
      <c r="BF53" s="20">
        <f t="shared" si="42"/>
        <v>1.4999999999986358E-2</v>
      </c>
      <c r="BH53">
        <f t="shared" si="8"/>
        <v>32</v>
      </c>
      <c r="BI53">
        <f t="shared" si="9"/>
        <v>-20</v>
      </c>
      <c r="BJ53">
        <f t="shared" si="10"/>
        <v>880</v>
      </c>
      <c r="BK53" s="19">
        <v>-638.73</v>
      </c>
      <c r="BL53" s="2">
        <f t="shared" si="11"/>
        <v>881.2699999999993</v>
      </c>
      <c r="BM53" s="23">
        <f t="shared" si="104"/>
        <v>-19.975000000000023</v>
      </c>
      <c r="BN53" s="6">
        <f t="shared" si="13"/>
        <v>-1.2699999999992997</v>
      </c>
      <c r="BO53" s="12">
        <f t="shared" si="14"/>
        <v>-2.4999999999977263E-2</v>
      </c>
      <c r="BP53" s="10"/>
      <c r="BQ53" s="35"/>
      <c r="BR53" s="8"/>
      <c r="BS53" s="15">
        <f t="shared" si="15"/>
        <v>63</v>
      </c>
      <c r="BT53" s="15">
        <f t="shared" si="16"/>
        <v>880</v>
      </c>
      <c r="BU53" s="19">
        <v>-638.73</v>
      </c>
      <c r="BV53" s="12">
        <f t="shared" si="17"/>
        <v>881.73</v>
      </c>
      <c r="BW53" s="12">
        <f t="shared" si="18"/>
        <v>638.27</v>
      </c>
      <c r="BX53" s="12">
        <f t="shared" si="19"/>
        <v>-640</v>
      </c>
      <c r="BY53" s="27">
        <f t="shared" si="20"/>
        <v>-1.7300000000000182</v>
      </c>
      <c r="BZ53" s="30">
        <f t="shared" si="21"/>
        <v>64</v>
      </c>
      <c r="CA53" s="30">
        <v>0</v>
      </c>
      <c r="CB53">
        <v>-0.47</v>
      </c>
      <c r="CC53" s="40">
        <f t="shared" si="22"/>
        <v>638.26</v>
      </c>
      <c r="CD53" s="40">
        <f t="shared" si="23"/>
        <v>-1.7400000000000091</v>
      </c>
      <c r="CE53" s="40">
        <f t="shared" si="24"/>
        <v>640</v>
      </c>
      <c r="CF53" s="6"/>
      <c r="CG53" s="20">
        <f t="shared" si="43"/>
        <v>9.9999999999909051E-3</v>
      </c>
      <c r="CH53" s="10"/>
      <c r="CI53" s="15">
        <f t="shared" si="25"/>
        <v>63</v>
      </c>
      <c r="CJ53" s="15">
        <f t="shared" si="26"/>
        <v>880</v>
      </c>
      <c r="CK53" s="19">
        <v>-638.74</v>
      </c>
      <c r="CL53" s="12">
        <f t="shared" si="27"/>
        <v>881.68499999999995</v>
      </c>
      <c r="CM53" s="12">
        <f t="shared" si="28"/>
        <v>638.31500000000005</v>
      </c>
      <c r="CN53" s="12">
        <f t="shared" si="29"/>
        <v>-640</v>
      </c>
      <c r="CO53" s="27">
        <f t="shared" si="30"/>
        <v>-1.6849999999999454</v>
      </c>
      <c r="CP53" s="30">
        <f t="shared" si="31"/>
        <v>64</v>
      </c>
      <c r="CQ53" s="30">
        <v>0</v>
      </c>
      <c r="CR53">
        <v>-0.43</v>
      </c>
      <c r="CS53" s="40">
        <f t="shared" si="32"/>
        <v>638.31000000000006</v>
      </c>
      <c r="CT53" s="40">
        <f t="shared" si="33"/>
        <v>-1.6899999999999409</v>
      </c>
      <c r="CU53" s="40">
        <f t="shared" si="34"/>
        <v>640</v>
      </c>
      <c r="DB53" s="19"/>
      <c r="DC53" s="2"/>
      <c r="DD53" s="2"/>
      <c r="DE53" s="6"/>
      <c r="DF53" s="12"/>
      <c r="DG53" s="10"/>
    </row>
    <row r="54" spans="2:111" x14ac:dyDescent="0.45">
      <c r="B54">
        <f t="shared" si="44"/>
        <v>46</v>
      </c>
      <c r="C54">
        <v>20</v>
      </c>
      <c r="D54">
        <f t="shared" si="45"/>
        <v>920</v>
      </c>
      <c r="E54" s="19">
        <v>919.61500000000001</v>
      </c>
      <c r="F54" s="23">
        <f t="shared" si="46"/>
        <v>19.995000000000005</v>
      </c>
      <c r="G54" s="6">
        <f t="shared" si="35"/>
        <v>-0.38499999999999091</v>
      </c>
      <c r="H54" s="12">
        <f t="shared" si="47"/>
        <v>-4.9999999999954525E-3</v>
      </c>
      <c r="J54" s="20">
        <f t="shared" si="91"/>
        <v>9.9999999999909051E-3</v>
      </c>
      <c r="K54" s="2"/>
      <c r="L54">
        <f t="shared" ref="L54" si="106">L53+1</f>
        <v>46</v>
      </c>
      <c r="M54">
        <v>20</v>
      </c>
      <c r="N54">
        <f t="shared" si="49"/>
        <v>920</v>
      </c>
      <c r="O54" s="19">
        <v>919.51499999999999</v>
      </c>
      <c r="P54" s="23">
        <f t="shared" si="50"/>
        <v>20.004999999999995</v>
      </c>
      <c r="Q54" s="6">
        <f t="shared" si="36"/>
        <v>-0.48500000000001364</v>
      </c>
      <c r="R54" s="27">
        <f t="shared" si="51"/>
        <v>4.9999999999954525E-3</v>
      </c>
      <c r="S54" s="19"/>
      <c r="T54" s="35"/>
      <c r="U54" s="19"/>
      <c r="V54" s="15">
        <f t="shared" si="52"/>
        <v>91</v>
      </c>
      <c r="W54" s="15">
        <f t="shared" si="53"/>
        <v>920</v>
      </c>
      <c r="X54" s="19">
        <v>919.54499999999996</v>
      </c>
      <c r="Y54" s="12">
        <f t="shared" si="54"/>
        <v>919.14</v>
      </c>
      <c r="Z54" s="27">
        <f t="shared" si="55"/>
        <v>-0.86000000000001364</v>
      </c>
      <c r="AA54" s="30">
        <f t="shared" si="56"/>
        <v>92</v>
      </c>
      <c r="AB54" s="30">
        <v>0</v>
      </c>
      <c r="AC54" s="19">
        <v>0.4</v>
      </c>
      <c r="AD54" s="28">
        <f t="shared" si="37"/>
        <v>919.14499999999998</v>
      </c>
      <c r="AE54" s="29">
        <f t="shared" si="38"/>
        <v>-0.85500000000001819</v>
      </c>
      <c r="AF54" s="19"/>
      <c r="AG54" s="20">
        <f t="shared" si="39"/>
        <v>0.20000000000004547</v>
      </c>
      <c r="AI54" s="15">
        <f t="shared" si="57"/>
        <v>91</v>
      </c>
      <c r="AJ54" s="15">
        <f t="shared" si="58"/>
        <v>920</v>
      </c>
      <c r="AK54" s="19">
        <v>919.745</v>
      </c>
      <c r="AL54" s="12">
        <f t="shared" si="59"/>
        <v>919.2</v>
      </c>
      <c r="AM54" s="27">
        <f t="shared" si="60"/>
        <v>-0.79999999999995453</v>
      </c>
      <c r="AN54" s="30">
        <f t="shared" si="61"/>
        <v>92</v>
      </c>
      <c r="AO54" s="30">
        <v>0</v>
      </c>
      <c r="AP54" s="19">
        <v>0.55000000000000004</v>
      </c>
      <c r="AQ54" s="28">
        <f t="shared" si="40"/>
        <v>919.19500000000005</v>
      </c>
      <c r="AR54" s="29">
        <f t="shared" si="41"/>
        <v>-0.80499999999994998</v>
      </c>
      <c r="AT54" s="36"/>
      <c r="AU54" s="36"/>
      <c r="AW54">
        <f t="shared" si="1"/>
        <v>31</v>
      </c>
      <c r="AX54">
        <f t="shared" si="2"/>
        <v>-20</v>
      </c>
      <c r="AY54">
        <f t="shared" si="3"/>
        <v>900</v>
      </c>
      <c r="AZ54" s="19">
        <v>-618.77499999999998</v>
      </c>
      <c r="BA54" s="2">
        <f t="shared" si="4"/>
        <v>901.22499999999957</v>
      </c>
      <c r="BB54" s="23">
        <f t="shared" si="5"/>
        <v>-20.009999999999991</v>
      </c>
      <c r="BC54" s="6">
        <f t="shared" si="6"/>
        <v>-1.224999999999568</v>
      </c>
      <c r="BD54" s="12">
        <f t="shared" si="7"/>
        <v>9.9999999999909051E-3</v>
      </c>
      <c r="BF54" s="20">
        <f t="shared" si="42"/>
        <v>-9.9999999999909051E-3</v>
      </c>
      <c r="BH54">
        <f t="shared" si="8"/>
        <v>31</v>
      </c>
      <c r="BI54">
        <f t="shared" si="9"/>
        <v>-20</v>
      </c>
      <c r="BJ54">
        <f t="shared" si="10"/>
        <v>900</v>
      </c>
      <c r="BK54" s="19">
        <v>-618.755</v>
      </c>
      <c r="BL54" s="2">
        <f t="shared" si="11"/>
        <v>901.24499999999932</v>
      </c>
      <c r="BM54" s="23">
        <f t="shared" si="104"/>
        <v>-20.019999999999982</v>
      </c>
      <c r="BN54" s="6">
        <f t="shared" si="13"/>
        <v>-1.2449999999993224</v>
      </c>
      <c r="BO54" s="12">
        <f t="shared" si="14"/>
        <v>1.999999999998181E-2</v>
      </c>
      <c r="BP54" s="10"/>
      <c r="BQ54" s="35"/>
      <c r="BR54" s="8"/>
      <c r="BS54" s="15">
        <f t="shared" si="15"/>
        <v>61</v>
      </c>
      <c r="BT54" s="15">
        <f t="shared" si="16"/>
        <v>900</v>
      </c>
      <c r="BU54" s="19">
        <v>-618.755</v>
      </c>
      <c r="BV54" s="12">
        <f t="shared" si="17"/>
        <v>901.71</v>
      </c>
      <c r="BW54" s="12">
        <f t="shared" si="18"/>
        <v>618.29</v>
      </c>
      <c r="BX54" s="12">
        <f t="shared" si="19"/>
        <v>-620</v>
      </c>
      <c r="BY54" s="27">
        <f t="shared" si="20"/>
        <v>-1.7100000000000364</v>
      </c>
      <c r="BZ54" s="30">
        <f t="shared" si="21"/>
        <v>62</v>
      </c>
      <c r="CA54" s="30">
        <v>0</v>
      </c>
      <c r="CB54">
        <v>-0.46</v>
      </c>
      <c r="CC54" s="40">
        <f t="shared" si="22"/>
        <v>618.29499999999996</v>
      </c>
      <c r="CD54" s="40">
        <f t="shared" si="23"/>
        <v>-1.7050000000000409</v>
      </c>
      <c r="CE54" s="40">
        <f t="shared" si="24"/>
        <v>620</v>
      </c>
      <c r="CF54" s="6"/>
      <c r="CG54" s="20">
        <f t="shared" si="43"/>
        <v>-9.9999999999909051E-3</v>
      </c>
      <c r="CH54" s="10"/>
      <c r="CI54" s="15">
        <f t="shared" si="25"/>
        <v>61</v>
      </c>
      <c r="CJ54" s="15">
        <f t="shared" si="26"/>
        <v>900</v>
      </c>
      <c r="CK54" s="19">
        <v>-618.745</v>
      </c>
      <c r="CL54" s="12">
        <f t="shared" si="27"/>
        <v>901.68499999999995</v>
      </c>
      <c r="CM54" s="12">
        <f t="shared" si="28"/>
        <v>618.31500000000005</v>
      </c>
      <c r="CN54" s="12">
        <f t="shared" si="29"/>
        <v>-620</v>
      </c>
      <c r="CO54" s="27">
        <f t="shared" si="30"/>
        <v>-1.6849999999999454</v>
      </c>
      <c r="CP54" s="30">
        <f t="shared" si="31"/>
        <v>62</v>
      </c>
      <c r="CQ54" s="30">
        <v>0</v>
      </c>
      <c r="CR54">
        <v>-0.42499999999999999</v>
      </c>
      <c r="CS54" s="40">
        <f t="shared" si="32"/>
        <v>618.32000000000005</v>
      </c>
      <c r="CT54" s="40">
        <f t="shared" si="33"/>
        <v>-1.67999999999995</v>
      </c>
      <c r="CU54" s="40">
        <f t="shared" si="34"/>
        <v>620</v>
      </c>
      <c r="DB54" s="19"/>
      <c r="DC54" s="2"/>
      <c r="DD54" s="2"/>
      <c r="DE54" s="6"/>
      <c r="DF54" s="12"/>
      <c r="DG54" s="10"/>
    </row>
    <row r="55" spans="2:111" x14ac:dyDescent="0.45">
      <c r="B55">
        <f t="shared" si="44"/>
        <v>47</v>
      </c>
      <c r="C55">
        <v>20</v>
      </c>
      <c r="D55">
        <f t="shared" si="45"/>
        <v>940</v>
      </c>
      <c r="E55" s="19">
        <v>939.59</v>
      </c>
      <c r="F55" s="23">
        <f t="shared" si="46"/>
        <v>19.975000000000023</v>
      </c>
      <c r="G55" s="6">
        <f t="shared" si="35"/>
        <v>-0.40999999999996817</v>
      </c>
      <c r="H55" s="12">
        <f t="shared" si="47"/>
        <v>-2.4999999999977263E-2</v>
      </c>
      <c r="J55" s="20">
        <f t="shared" si="91"/>
        <v>-4.9999999999954525E-3</v>
      </c>
      <c r="K55" s="2"/>
      <c r="L55">
        <f t="shared" ref="L55" si="107">L54+1</f>
        <v>47</v>
      </c>
      <c r="M55">
        <v>20</v>
      </c>
      <c r="N55">
        <f t="shared" si="49"/>
        <v>940</v>
      </c>
      <c r="O55" s="19">
        <v>939.48500000000001</v>
      </c>
      <c r="P55" s="23">
        <f t="shared" si="50"/>
        <v>19.970000000000027</v>
      </c>
      <c r="Q55" s="6">
        <f t="shared" si="36"/>
        <v>-0.51499999999998636</v>
      </c>
      <c r="R55" s="27">
        <f t="shared" si="51"/>
        <v>-2.9999999999972715E-2</v>
      </c>
      <c r="S55" s="19"/>
      <c r="T55" s="35"/>
      <c r="U55" s="19"/>
      <c r="V55" s="15">
        <f t="shared" si="52"/>
        <v>93</v>
      </c>
      <c r="W55" s="15">
        <f t="shared" si="53"/>
        <v>940</v>
      </c>
      <c r="X55" s="19">
        <v>939.53</v>
      </c>
      <c r="Y55" s="12">
        <f t="shared" si="54"/>
        <v>939.13</v>
      </c>
      <c r="Z55" s="27">
        <f t="shared" si="55"/>
        <v>-0.87000000000000455</v>
      </c>
      <c r="AA55" s="30">
        <f t="shared" si="56"/>
        <v>94</v>
      </c>
      <c r="AB55" s="30">
        <v>0</v>
      </c>
      <c r="AC55" s="19">
        <v>0.4</v>
      </c>
      <c r="AD55" s="28">
        <f t="shared" si="37"/>
        <v>939.13</v>
      </c>
      <c r="AE55" s="29">
        <f t="shared" si="38"/>
        <v>-0.87000000000000455</v>
      </c>
      <c r="AF55" s="19"/>
      <c r="AG55" s="20">
        <f t="shared" si="39"/>
        <v>0.19000000000005457</v>
      </c>
      <c r="AI55" s="15">
        <f t="shared" si="57"/>
        <v>93</v>
      </c>
      <c r="AJ55" s="15">
        <f t="shared" si="58"/>
        <v>940</v>
      </c>
      <c r="AK55" s="19">
        <v>939.72</v>
      </c>
      <c r="AL55" s="12">
        <f t="shared" si="59"/>
        <v>939.17000000000007</v>
      </c>
      <c r="AM55" s="27">
        <f t="shared" si="60"/>
        <v>-0.82999999999992724</v>
      </c>
      <c r="AN55" s="30">
        <f t="shared" si="61"/>
        <v>94</v>
      </c>
      <c r="AO55" s="30">
        <v>0</v>
      </c>
      <c r="AP55" s="19">
        <v>0.55500000000000005</v>
      </c>
      <c r="AQ55" s="28">
        <f t="shared" si="40"/>
        <v>939.16500000000008</v>
      </c>
      <c r="AR55" s="29">
        <f t="shared" si="41"/>
        <v>-0.83499999999992269</v>
      </c>
      <c r="AT55" s="36"/>
      <c r="AU55" s="36"/>
      <c r="AW55">
        <f t="shared" si="1"/>
        <v>30</v>
      </c>
      <c r="AX55">
        <f t="shared" si="2"/>
        <v>-20</v>
      </c>
      <c r="AY55">
        <f t="shared" si="3"/>
        <v>920</v>
      </c>
      <c r="AZ55" s="19">
        <v>-598.76499999999999</v>
      </c>
      <c r="BA55" s="2">
        <f t="shared" si="4"/>
        <v>921.23499999999956</v>
      </c>
      <c r="BB55" s="23">
        <f t="shared" si="5"/>
        <v>-19.980000000000018</v>
      </c>
      <c r="BC55" s="6">
        <f t="shared" si="6"/>
        <v>-1.2349999999995589</v>
      </c>
      <c r="BD55" s="12">
        <f t="shared" si="7"/>
        <v>-1.999999999998181E-2</v>
      </c>
      <c r="BF55" s="20">
        <f t="shared" si="42"/>
        <v>4.9999999999954525E-2</v>
      </c>
      <c r="BH55">
        <f t="shared" si="8"/>
        <v>30</v>
      </c>
      <c r="BI55">
        <f t="shared" si="9"/>
        <v>-20</v>
      </c>
      <c r="BJ55">
        <f t="shared" si="10"/>
        <v>920</v>
      </c>
      <c r="BK55" s="19">
        <v>-598.73500000000001</v>
      </c>
      <c r="BL55" s="2">
        <f t="shared" si="11"/>
        <v>921.2649999999993</v>
      </c>
      <c r="BM55" s="23">
        <f t="shared" si="104"/>
        <v>-19.930000000000064</v>
      </c>
      <c r="BN55" s="6">
        <f t="shared" si="13"/>
        <v>-1.2649999999993042</v>
      </c>
      <c r="BO55" s="12">
        <f t="shared" si="14"/>
        <v>-6.9999999999936335E-2</v>
      </c>
      <c r="BP55" s="10"/>
      <c r="BQ55" s="35"/>
      <c r="BR55" s="8"/>
      <c r="BS55" s="15">
        <f t="shared" si="15"/>
        <v>59</v>
      </c>
      <c r="BT55" s="15">
        <f t="shared" si="16"/>
        <v>920</v>
      </c>
      <c r="BU55" s="19">
        <v>-598.73500000000001</v>
      </c>
      <c r="BV55" s="12">
        <f t="shared" si="17"/>
        <v>921.73</v>
      </c>
      <c r="BW55" s="12">
        <f t="shared" si="18"/>
        <v>598.27</v>
      </c>
      <c r="BX55" s="12">
        <f t="shared" si="19"/>
        <v>-600</v>
      </c>
      <c r="BY55" s="27">
        <f t="shared" si="20"/>
        <v>-1.7300000000000182</v>
      </c>
      <c r="BZ55" s="30">
        <f t="shared" si="21"/>
        <v>60</v>
      </c>
      <c r="CA55" s="30">
        <v>0</v>
      </c>
      <c r="CB55">
        <v>-0.46500000000000002</v>
      </c>
      <c r="CC55" s="40">
        <f t="shared" si="22"/>
        <v>598.27</v>
      </c>
      <c r="CD55" s="40">
        <f t="shared" si="23"/>
        <v>-1.7300000000000182</v>
      </c>
      <c r="CE55" s="40">
        <f t="shared" si="24"/>
        <v>600</v>
      </c>
      <c r="CF55" s="6"/>
      <c r="CG55" s="20">
        <f t="shared" si="43"/>
        <v>-1.999999999998181E-2</v>
      </c>
      <c r="CH55" s="10"/>
      <c r="CI55" s="15">
        <f t="shared" si="25"/>
        <v>59</v>
      </c>
      <c r="CJ55" s="15">
        <f t="shared" si="26"/>
        <v>920</v>
      </c>
      <c r="CK55" s="19">
        <v>-598.71500000000003</v>
      </c>
      <c r="CL55" s="12">
        <f t="shared" si="27"/>
        <v>921.70999999999992</v>
      </c>
      <c r="CM55" s="12">
        <f t="shared" si="28"/>
        <v>598.29000000000008</v>
      </c>
      <c r="CN55" s="12">
        <f t="shared" si="29"/>
        <v>-600</v>
      </c>
      <c r="CO55" s="27">
        <f t="shared" si="30"/>
        <v>-1.7099999999999227</v>
      </c>
      <c r="CP55" s="30">
        <f t="shared" si="31"/>
        <v>60</v>
      </c>
      <c r="CQ55" s="30">
        <v>0</v>
      </c>
      <c r="CR55">
        <v>-0.43</v>
      </c>
      <c r="CS55" s="40">
        <f t="shared" si="32"/>
        <v>598.28500000000008</v>
      </c>
      <c r="CT55" s="40">
        <f t="shared" si="33"/>
        <v>-1.7149999999999181</v>
      </c>
      <c r="CU55" s="40">
        <f t="shared" si="34"/>
        <v>600</v>
      </c>
      <c r="DB55" s="19"/>
      <c r="DC55" s="2"/>
      <c r="DD55" s="2"/>
      <c r="DE55" s="6"/>
      <c r="DF55" s="12"/>
      <c r="DG55" s="10"/>
    </row>
    <row r="56" spans="2:111" x14ac:dyDescent="0.45">
      <c r="B56">
        <f t="shared" si="44"/>
        <v>48</v>
      </c>
      <c r="C56">
        <v>20</v>
      </c>
      <c r="D56">
        <f t="shared" si="45"/>
        <v>960</v>
      </c>
      <c r="E56" s="19">
        <v>959.505</v>
      </c>
      <c r="F56" s="23">
        <f t="shared" si="46"/>
        <v>19.914999999999964</v>
      </c>
      <c r="G56" s="6">
        <f t="shared" si="35"/>
        <v>-0.49500000000000455</v>
      </c>
      <c r="H56" s="12">
        <f t="shared" si="47"/>
        <v>-8.500000000003638E-2</v>
      </c>
      <c r="J56" s="20">
        <f t="shared" si="91"/>
        <v>-3.4999999999968168E-2</v>
      </c>
      <c r="K56" s="2"/>
      <c r="L56">
        <f t="shared" ref="L56" si="108">L55+1</f>
        <v>48</v>
      </c>
      <c r="M56">
        <v>20</v>
      </c>
      <c r="N56">
        <f t="shared" si="49"/>
        <v>960</v>
      </c>
      <c r="O56" s="19">
        <v>959.36500000000001</v>
      </c>
      <c r="P56" s="23">
        <f t="shared" si="50"/>
        <v>19.879999999999995</v>
      </c>
      <c r="Q56" s="6">
        <f t="shared" si="36"/>
        <v>-0.63499999999999091</v>
      </c>
      <c r="R56" s="27">
        <f t="shared" si="51"/>
        <v>-0.12000000000000455</v>
      </c>
      <c r="S56" s="19"/>
      <c r="T56" s="35"/>
      <c r="U56" s="19"/>
      <c r="V56" s="15">
        <f t="shared" si="52"/>
        <v>95</v>
      </c>
      <c r="W56" s="15">
        <f t="shared" si="53"/>
        <v>960</v>
      </c>
      <c r="X56" s="19">
        <v>959.43</v>
      </c>
      <c r="Y56" s="12">
        <f t="shared" si="54"/>
        <v>959.03</v>
      </c>
      <c r="Z56" s="27">
        <f t="shared" si="55"/>
        <v>-0.97000000000002728</v>
      </c>
      <c r="AA56" s="30">
        <f t="shared" si="56"/>
        <v>96</v>
      </c>
      <c r="AB56" s="30">
        <v>0</v>
      </c>
      <c r="AC56" s="19">
        <v>0.4</v>
      </c>
      <c r="AD56" s="28">
        <f t="shared" si="37"/>
        <v>959.03</v>
      </c>
      <c r="AE56" s="29">
        <f t="shared" si="38"/>
        <v>-0.97000000000002728</v>
      </c>
      <c r="AF56" s="19"/>
      <c r="AG56" s="20">
        <f t="shared" si="39"/>
        <v>0.20500000000004093</v>
      </c>
      <c r="AI56" s="15">
        <f t="shared" si="57"/>
        <v>95</v>
      </c>
      <c r="AJ56" s="15">
        <f t="shared" si="58"/>
        <v>960</v>
      </c>
      <c r="AK56" s="19">
        <v>959.63499999999999</v>
      </c>
      <c r="AL56" s="12">
        <f t="shared" si="59"/>
        <v>959.08</v>
      </c>
      <c r="AM56" s="27">
        <f t="shared" si="60"/>
        <v>-0.91999999999995907</v>
      </c>
      <c r="AN56" s="30">
        <f t="shared" si="61"/>
        <v>96</v>
      </c>
      <c r="AO56" s="30">
        <v>0</v>
      </c>
      <c r="AP56" s="19">
        <v>0.55500000000000005</v>
      </c>
      <c r="AQ56" s="28">
        <f t="shared" si="40"/>
        <v>959.08</v>
      </c>
      <c r="AR56" s="29">
        <f t="shared" si="41"/>
        <v>-0.91999999999995907</v>
      </c>
      <c r="AT56" s="36"/>
      <c r="AU56" s="36"/>
      <c r="AW56">
        <f t="shared" si="1"/>
        <v>29</v>
      </c>
      <c r="AX56">
        <f t="shared" si="2"/>
        <v>-20</v>
      </c>
      <c r="AY56">
        <f t="shared" si="3"/>
        <v>940</v>
      </c>
      <c r="AZ56" s="19">
        <v>-578.78499999999997</v>
      </c>
      <c r="BA56" s="2">
        <f t="shared" si="4"/>
        <v>941.21499999999958</v>
      </c>
      <c r="BB56" s="23">
        <f t="shared" si="5"/>
        <v>-19.924999999999955</v>
      </c>
      <c r="BC56" s="6">
        <f t="shared" si="6"/>
        <v>-1.2149999999995771</v>
      </c>
      <c r="BD56" s="12">
        <f t="shared" si="7"/>
        <v>-7.5000000000045475E-2</v>
      </c>
      <c r="BF56" s="20">
        <f t="shared" si="42"/>
        <v>0</v>
      </c>
      <c r="BH56">
        <f t="shared" si="8"/>
        <v>29</v>
      </c>
      <c r="BI56">
        <f t="shared" si="9"/>
        <v>-20</v>
      </c>
      <c r="BJ56">
        <f t="shared" si="10"/>
        <v>940</v>
      </c>
      <c r="BK56" s="19">
        <v>-578.80499999999995</v>
      </c>
      <c r="BL56" s="2">
        <f t="shared" si="11"/>
        <v>941.19499999999937</v>
      </c>
      <c r="BM56" s="23">
        <f t="shared" si="104"/>
        <v>-19.924999999999955</v>
      </c>
      <c r="BN56" s="6">
        <f t="shared" si="13"/>
        <v>-1.1949999999993679</v>
      </c>
      <c r="BO56" s="12">
        <f t="shared" si="14"/>
        <v>-7.5000000000045475E-2</v>
      </c>
      <c r="BP56" s="10"/>
      <c r="BQ56" s="35"/>
      <c r="BR56" s="8"/>
      <c r="BS56" s="15">
        <f t="shared" si="15"/>
        <v>57</v>
      </c>
      <c r="BT56" s="15">
        <f t="shared" si="16"/>
        <v>940</v>
      </c>
      <c r="BU56" s="19">
        <v>-578.80499999999995</v>
      </c>
      <c r="BV56" s="12">
        <f t="shared" si="17"/>
        <v>941.65500000000009</v>
      </c>
      <c r="BW56" s="12">
        <f t="shared" si="18"/>
        <v>578.34499999999991</v>
      </c>
      <c r="BX56" s="12">
        <f t="shared" si="19"/>
        <v>-580</v>
      </c>
      <c r="BY56" s="27">
        <f t="shared" si="20"/>
        <v>-1.6550000000000864</v>
      </c>
      <c r="BZ56" s="30">
        <f t="shared" si="21"/>
        <v>58</v>
      </c>
      <c r="CA56" s="30">
        <v>0</v>
      </c>
      <c r="CB56">
        <v>-0.46500000000000002</v>
      </c>
      <c r="CC56" s="40">
        <f t="shared" si="22"/>
        <v>578.33999999999992</v>
      </c>
      <c r="CD56" s="40">
        <f t="shared" si="23"/>
        <v>-1.6600000000000819</v>
      </c>
      <c r="CE56" s="40">
        <f t="shared" si="24"/>
        <v>580</v>
      </c>
      <c r="CF56" s="6"/>
      <c r="CG56" s="20">
        <f t="shared" si="43"/>
        <v>-2.9999999999972715E-2</v>
      </c>
      <c r="CH56" s="10"/>
      <c r="CI56" s="15">
        <f t="shared" si="25"/>
        <v>57</v>
      </c>
      <c r="CJ56" s="15">
        <f t="shared" si="26"/>
        <v>940</v>
      </c>
      <c r="CK56" s="19">
        <v>-578.77499999999998</v>
      </c>
      <c r="CL56" s="12">
        <f t="shared" si="27"/>
        <v>941.65499999999997</v>
      </c>
      <c r="CM56" s="12">
        <f t="shared" si="28"/>
        <v>578.34500000000003</v>
      </c>
      <c r="CN56" s="12">
        <f t="shared" si="29"/>
        <v>-580</v>
      </c>
      <c r="CO56" s="27">
        <f t="shared" si="30"/>
        <v>-1.6549999999999727</v>
      </c>
      <c r="CP56" s="30">
        <f t="shared" si="31"/>
        <v>58</v>
      </c>
      <c r="CQ56" s="30">
        <v>0</v>
      </c>
      <c r="CR56">
        <v>-0.42499999999999999</v>
      </c>
      <c r="CS56" s="40">
        <f t="shared" si="32"/>
        <v>578.35</v>
      </c>
      <c r="CT56" s="40">
        <f t="shared" si="33"/>
        <v>-1.6499999999999773</v>
      </c>
      <c r="CU56" s="40">
        <f t="shared" si="34"/>
        <v>580</v>
      </c>
      <c r="DB56" s="19"/>
      <c r="DC56" s="2"/>
      <c r="DD56" s="2"/>
      <c r="DE56" s="6"/>
      <c r="DF56" s="12"/>
      <c r="DG56" s="10"/>
    </row>
    <row r="57" spans="2:111" x14ac:dyDescent="0.45">
      <c r="B57">
        <f t="shared" si="44"/>
        <v>49</v>
      </c>
      <c r="C57">
        <v>20</v>
      </c>
      <c r="D57">
        <f t="shared" si="45"/>
        <v>980</v>
      </c>
      <c r="E57" s="19">
        <v>979.46</v>
      </c>
      <c r="F57" s="23">
        <f t="shared" si="46"/>
        <v>19.955000000000041</v>
      </c>
      <c r="G57" s="6">
        <f t="shared" si="35"/>
        <v>-0.53999999999996362</v>
      </c>
      <c r="H57" s="12">
        <f t="shared" si="47"/>
        <v>-4.4999999999959073E-2</v>
      </c>
      <c r="J57" s="20">
        <f t="shared" si="91"/>
        <v>-1.0000000000104592E-2</v>
      </c>
      <c r="K57" s="2"/>
      <c r="L57">
        <f t="shared" ref="L57" si="109">L56+1</f>
        <v>49</v>
      </c>
      <c r="M57">
        <v>20</v>
      </c>
      <c r="N57">
        <f t="shared" si="49"/>
        <v>980</v>
      </c>
      <c r="O57" s="19">
        <v>979.31</v>
      </c>
      <c r="P57" s="23">
        <f t="shared" si="50"/>
        <v>19.944999999999936</v>
      </c>
      <c r="Q57" s="6">
        <f t="shared" si="36"/>
        <v>-0.69000000000005457</v>
      </c>
      <c r="R57" s="27">
        <f t="shared" si="51"/>
        <v>-5.5000000000063665E-2</v>
      </c>
      <c r="S57" s="19"/>
      <c r="T57" s="35"/>
      <c r="U57" s="19"/>
      <c r="V57" s="15">
        <f t="shared" si="52"/>
        <v>97</v>
      </c>
      <c r="W57" s="15">
        <f t="shared" si="53"/>
        <v>980</v>
      </c>
      <c r="X57" s="19">
        <v>979.33</v>
      </c>
      <c r="Y57" s="12">
        <f t="shared" si="54"/>
        <v>978.93000000000006</v>
      </c>
      <c r="Z57" s="27">
        <f t="shared" si="55"/>
        <v>-1.0699999999999363</v>
      </c>
      <c r="AA57" s="30">
        <f t="shared" si="56"/>
        <v>98</v>
      </c>
      <c r="AB57" s="30">
        <v>0</v>
      </c>
      <c r="AC57" s="19">
        <v>0.4</v>
      </c>
      <c r="AD57" s="28">
        <f t="shared" si="37"/>
        <v>978.93000000000006</v>
      </c>
      <c r="AE57" s="29">
        <f t="shared" si="38"/>
        <v>-1.0699999999999363</v>
      </c>
      <c r="AF57" s="19"/>
      <c r="AG57" s="20">
        <f t="shared" si="39"/>
        <v>0.20999999999992269</v>
      </c>
      <c r="AI57" s="15">
        <f t="shared" si="57"/>
        <v>97</v>
      </c>
      <c r="AJ57" s="15">
        <f t="shared" si="58"/>
        <v>980</v>
      </c>
      <c r="AK57" s="19">
        <v>979.54</v>
      </c>
      <c r="AL57" s="12">
        <f t="shared" si="59"/>
        <v>978.98500000000001</v>
      </c>
      <c r="AM57" s="27">
        <f t="shared" si="60"/>
        <v>-1.0149999999999864</v>
      </c>
      <c r="AN57" s="30">
        <f t="shared" si="61"/>
        <v>98</v>
      </c>
      <c r="AO57" s="30">
        <v>0</v>
      </c>
      <c r="AP57" s="19">
        <v>0.55500000000000005</v>
      </c>
      <c r="AQ57" s="28">
        <f t="shared" si="40"/>
        <v>978.98500000000001</v>
      </c>
      <c r="AR57" s="29">
        <f t="shared" si="41"/>
        <v>-1.0149999999999864</v>
      </c>
      <c r="AT57" s="36"/>
      <c r="AU57" s="36"/>
      <c r="AW57">
        <f t="shared" si="1"/>
        <v>28</v>
      </c>
      <c r="AX57">
        <f t="shared" si="2"/>
        <v>-20</v>
      </c>
      <c r="AY57">
        <f t="shared" si="3"/>
        <v>960</v>
      </c>
      <c r="AZ57" s="19">
        <v>-558.86</v>
      </c>
      <c r="BA57" s="2">
        <f t="shared" si="4"/>
        <v>961.13999999999953</v>
      </c>
      <c r="BB57" s="23">
        <f t="shared" si="5"/>
        <v>-19.94500000000005</v>
      </c>
      <c r="BC57" s="6">
        <f t="shared" si="6"/>
        <v>-1.1399999999995316</v>
      </c>
      <c r="BD57" s="12">
        <f t="shared" si="7"/>
        <v>-5.4999999999949978E-2</v>
      </c>
      <c r="BF57" s="20">
        <f t="shared" si="42"/>
        <v>-1.4999999999986358E-2</v>
      </c>
      <c r="BH57">
        <f t="shared" si="8"/>
        <v>28</v>
      </c>
      <c r="BI57">
        <f t="shared" si="9"/>
        <v>-20</v>
      </c>
      <c r="BJ57">
        <f t="shared" si="10"/>
        <v>960</v>
      </c>
      <c r="BK57" s="19">
        <v>-558.88</v>
      </c>
      <c r="BL57" s="2">
        <f t="shared" si="11"/>
        <v>961.11999999999932</v>
      </c>
      <c r="BM57" s="23">
        <f t="shared" si="104"/>
        <v>-19.960000000000036</v>
      </c>
      <c r="BN57" s="6">
        <f t="shared" si="13"/>
        <v>-1.1199999999993224</v>
      </c>
      <c r="BO57" s="12">
        <f t="shared" si="14"/>
        <v>-3.999999999996362E-2</v>
      </c>
      <c r="BP57" s="10"/>
      <c r="BQ57" s="35"/>
      <c r="BR57" s="8"/>
      <c r="BS57" s="15">
        <f t="shared" si="15"/>
        <v>55</v>
      </c>
      <c r="BT57" s="15">
        <f t="shared" si="16"/>
        <v>960</v>
      </c>
      <c r="BU57" s="19">
        <v>-558.88</v>
      </c>
      <c r="BV57" s="12">
        <f t="shared" si="17"/>
        <v>961.57500000000005</v>
      </c>
      <c r="BW57" s="12">
        <f t="shared" si="18"/>
        <v>558.42499999999995</v>
      </c>
      <c r="BX57" s="12">
        <f t="shared" si="19"/>
        <v>-560</v>
      </c>
      <c r="BY57" s="27">
        <f t="shared" si="20"/>
        <v>-1.5750000000000455</v>
      </c>
      <c r="BZ57" s="30">
        <f t="shared" si="21"/>
        <v>56</v>
      </c>
      <c r="CA57" s="30">
        <v>0</v>
      </c>
      <c r="CB57">
        <v>-0.46</v>
      </c>
      <c r="CC57" s="40">
        <f t="shared" si="22"/>
        <v>558.41999999999996</v>
      </c>
      <c r="CD57" s="40">
        <f t="shared" si="23"/>
        <v>-1.5800000000000409</v>
      </c>
      <c r="CE57" s="40">
        <f t="shared" si="24"/>
        <v>560</v>
      </c>
      <c r="CF57" s="6"/>
      <c r="CG57" s="20">
        <f t="shared" si="43"/>
        <v>-2.4999999999977263E-2</v>
      </c>
      <c r="CH57" s="10"/>
      <c r="CI57" s="15">
        <f t="shared" si="25"/>
        <v>55</v>
      </c>
      <c r="CJ57" s="15">
        <f t="shared" si="26"/>
        <v>960</v>
      </c>
      <c r="CK57" s="19">
        <v>-558.85500000000002</v>
      </c>
      <c r="CL57" s="12">
        <f t="shared" si="27"/>
        <v>961.57999999999993</v>
      </c>
      <c r="CM57" s="12">
        <f t="shared" si="28"/>
        <v>558.42000000000007</v>
      </c>
      <c r="CN57" s="12">
        <f t="shared" si="29"/>
        <v>-560</v>
      </c>
      <c r="CO57" s="27">
        <f t="shared" si="30"/>
        <v>-1.5799999999999272</v>
      </c>
      <c r="CP57" s="30">
        <f t="shared" si="31"/>
        <v>56</v>
      </c>
      <c r="CQ57" s="30">
        <v>0</v>
      </c>
      <c r="CR57">
        <v>-0.43</v>
      </c>
      <c r="CS57" s="40">
        <f t="shared" si="32"/>
        <v>558.42500000000007</v>
      </c>
      <c r="CT57" s="40">
        <f t="shared" si="33"/>
        <v>-1.5749999999999318</v>
      </c>
      <c r="CU57" s="40">
        <f t="shared" si="34"/>
        <v>560</v>
      </c>
      <c r="DB57" s="19"/>
      <c r="DC57" s="2"/>
      <c r="DD57" s="2"/>
      <c r="DE57" s="6"/>
      <c r="DF57" s="12"/>
      <c r="DG57" s="10"/>
    </row>
    <row r="58" spans="2:111" x14ac:dyDescent="0.45">
      <c r="B58">
        <f t="shared" si="44"/>
        <v>50</v>
      </c>
      <c r="C58">
        <v>20</v>
      </c>
      <c r="D58">
        <f t="shared" si="45"/>
        <v>1000</v>
      </c>
      <c r="E58" s="19">
        <v>999.41</v>
      </c>
      <c r="F58" s="23">
        <f t="shared" si="46"/>
        <v>19.949999999999932</v>
      </c>
      <c r="G58" s="6">
        <f t="shared" si="35"/>
        <v>-0.59000000000003183</v>
      </c>
      <c r="H58" s="12">
        <f t="shared" si="47"/>
        <v>-5.0000000000068212E-2</v>
      </c>
      <c r="J58" s="20">
        <f t="shared" si="91"/>
        <v>1.1368683772161603E-13</v>
      </c>
      <c r="K58" s="2"/>
      <c r="L58">
        <f t="shared" ref="L58" si="110">L57+1</f>
        <v>50</v>
      </c>
      <c r="M58">
        <v>20</v>
      </c>
      <c r="N58">
        <f t="shared" si="49"/>
        <v>1000</v>
      </c>
      <c r="O58" s="19">
        <v>999.26</v>
      </c>
      <c r="P58" s="23">
        <f t="shared" si="50"/>
        <v>19.950000000000045</v>
      </c>
      <c r="Q58" s="6">
        <f t="shared" si="36"/>
        <v>-0.74000000000000909</v>
      </c>
      <c r="R58" s="27">
        <f t="shared" si="51"/>
        <v>-4.9999999999954525E-2</v>
      </c>
      <c r="S58" s="19"/>
      <c r="T58" s="35"/>
      <c r="U58" s="19"/>
      <c r="V58" s="15">
        <f t="shared" si="52"/>
        <v>99</v>
      </c>
      <c r="W58" s="15">
        <f t="shared" si="53"/>
        <v>1000</v>
      </c>
      <c r="X58" s="19">
        <v>999.31</v>
      </c>
      <c r="Y58" s="12">
        <f t="shared" si="54"/>
        <v>998.91</v>
      </c>
      <c r="Z58" s="27">
        <f t="shared" si="55"/>
        <v>-1.0900000000000318</v>
      </c>
      <c r="AA58" s="30">
        <f t="shared" si="56"/>
        <v>100</v>
      </c>
      <c r="AB58" s="30">
        <v>0</v>
      </c>
      <c r="AC58" s="19">
        <v>0.4</v>
      </c>
      <c r="AD58" s="28">
        <f t="shared" si="37"/>
        <v>998.91</v>
      </c>
      <c r="AE58" s="29">
        <f t="shared" si="38"/>
        <v>-1.0900000000000318</v>
      </c>
      <c r="AF58" s="19"/>
      <c r="AG58" s="20">
        <f t="shared" si="39"/>
        <v>0.18000000000006366</v>
      </c>
      <c r="AI58" s="15">
        <f t="shared" si="57"/>
        <v>99</v>
      </c>
      <c r="AJ58" s="15">
        <f t="shared" si="58"/>
        <v>1000</v>
      </c>
      <c r="AK58" s="19">
        <v>999.49</v>
      </c>
      <c r="AL58" s="12">
        <f t="shared" si="59"/>
        <v>998.93500000000006</v>
      </c>
      <c r="AM58" s="27">
        <f t="shared" si="60"/>
        <v>-1.0649999999999409</v>
      </c>
      <c r="AN58" s="30">
        <f t="shared" si="61"/>
        <v>100</v>
      </c>
      <c r="AO58" s="30">
        <v>0</v>
      </c>
      <c r="AP58" s="19">
        <v>0.56999999999999995</v>
      </c>
      <c r="AQ58" s="28">
        <f t="shared" si="40"/>
        <v>998.92</v>
      </c>
      <c r="AR58" s="29">
        <f t="shared" si="41"/>
        <v>-1.0800000000000409</v>
      </c>
      <c r="AT58" s="36"/>
      <c r="AU58" s="36"/>
      <c r="AW58">
        <f t="shared" si="1"/>
        <v>27</v>
      </c>
      <c r="AX58">
        <f t="shared" si="2"/>
        <v>-20</v>
      </c>
      <c r="AY58">
        <f t="shared" si="3"/>
        <v>980</v>
      </c>
      <c r="AZ58" s="19">
        <v>-538.91499999999996</v>
      </c>
      <c r="BA58" s="2">
        <f t="shared" si="4"/>
        <v>981.08499999999958</v>
      </c>
      <c r="BB58" s="23">
        <f t="shared" si="5"/>
        <v>-19.944999999999936</v>
      </c>
      <c r="BC58" s="6">
        <f t="shared" si="6"/>
        <v>-1.0849999999995816</v>
      </c>
      <c r="BD58" s="12">
        <f t="shared" si="7"/>
        <v>-5.5000000000063665E-2</v>
      </c>
      <c r="BF58" s="20">
        <f t="shared" si="42"/>
        <v>4.9999999999954525E-3</v>
      </c>
      <c r="BH58">
        <f t="shared" si="8"/>
        <v>27</v>
      </c>
      <c r="BI58">
        <f t="shared" si="9"/>
        <v>-20</v>
      </c>
      <c r="BJ58">
        <f t="shared" si="10"/>
        <v>980</v>
      </c>
      <c r="BK58" s="19">
        <v>-538.91999999999996</v>
      </c>
      <c r="BL58" s="2">
        <f t="shared" si="11"/>
        <v>981.07999999999936</v>
      </c>
      <c r="BM58" s="23">
        <f t="shared" si="104"/>
        <v>-19.939999999999941</v>
      </c>
      <c r="BN58" s="6">
        <f t="shared" si="13"/>
        <v>-1.0799999999993588</v>
      </c>
      <c r="BO58" s="12">
        <f t="shared" si="14"/>
        <v>-6.0000000000059117E-2</v>
      </c>
      <c r="BP58" s="10"/>
      <c r="BQ58" s="35"/>
      <c r="BR58" s="8"/>
      <c r="BS58" s="15">
        <f t="shared" si="15"/>
        <v>53</v>
      </c>
      <c r="BT58" s="15">
        <f t="shared" si="16"/>
        <v>980</v>
      </c>
      <c r="BU58" s="19">
        <v>-538.91999999999996</v>
      </c>
      <c r="BV58" s="12">
        <f t="shared" si="17"/>
        <v>981.53000000000009</v>
      </c>
      <c r="BW58" s="12">
        <f t="shared" si="18"/>
        <v>538.46999999999991</v>
      </c>
      <c r="BX58" s="12">
        <f t="shared" si="19"/>
        <v>-540</v>
      </c>
      <c r="BY58" s="27">
        <f t="shared" si="20"/>
        <v>-1.5300000000000864</v>
      </c>
      <c r="BZ58" s="30">
        <f t="shared" si="21"/>
        <v>54</v>
      </c>
      <c r="CA58" s="30">
        <v>0</v>
      </c>
      <c r="CB58">
        <v>-0.45500000000000002</v>
      </c>
      <c r="CC58" s="40">
        <f t="shared" si="22"/>
        <v>538.46499999999992</v>
      </c>
      <c r="CD58" s="40">
        <f t="shared" si="23"/>
        <v>-1.5350000000000819</v>
      </c>
      <c r="CE58" s="40">
        <f t="shared" si="24"/>
        <v>540</v>
      </c>
      <c r="CF58" s="6"/>
      <c r="CG58" s="20">
        <f t="shared" si="43"/>
        <v>4.9999999999954525E-3</v>
      </c>
      <c r="CH58" s="10"/>
      <c r="CI58" s="15">
        <f t="shared" si="25"/>
        <v>53</v>
      </c>
      <c r="CJ58" s="15">
        <f t="shared" si="26"/>
        <v>980</v>
      </c>
      <c r="CK58" s="19">
        <v>-538.92499999999995</v>
      </c>
      <c r="CL58" s="12">
        <f t="shared" si="27"/>
        <v>981.51</v>
      </c>
      <c r="CM58" s="12">
        <f t="shared" si="28"/>
        <v>538.49</v>
      </c>
      <c r="CN58" s="12">
        <f t="shared" si="29"/>
        <v>-540</v>
      </c>
      <c r="CO58" s="27">
        <f t="shared" si="30"/>
        <v>-1.5099999999999909</v>
      </c>
      <c r="CP58" s="30">
        <f t="shared" si="31"/>
        <v>54</v>
      </c>
      <c r="CQ58" s="30">
        <v>0</v>
      </c>
      <c r="CR58">
        <v>-0.435</v>
      </c>
      <c r="CS58" s="40">
        <f t="shared" si="32"/>
        <v>538.49</v>
      </c>
      <c r="CT58" s="40">
        <f t="shared" si="33"/>
        <v>-1.5099999999999909</v>
      </c>
      <c r="CU58" s="40">
        <f t="shared" si="34"/>
        <v>540</v>
      </c>
      <c r="DB58" s="19"/>
      <c r="DC58" s="2"/>
      <c r="DD58" s="2"/>
      <c r="DE58" s="6"/>
      <c r="DF58" s="12"/>
      <c r="DG58" s="10"/>
    </row>
    <row r="59" spans="2:111" x14ac:dyDescent="0.45">
      <c r="B59">
        <f t="shared" si="44"/>
        <v>51</v>
      </c>
      <c r="C59">
        <v>20</v>
      </c>
      <c r="D59">
        <f t="shared" si="45"/>
        <v>1020</v>
      </c>
      <c r="E59" s="19">
        <v>1019.4</v>
      </c>
      <c r="F59" s="23">
        <f t="shared" si="46"/>
        <v>19.990000000000009</v>
      </c>
      <c r="G59" s="6">
        <f t="shared" si="35"/>
        <v>-0.60000000000002274</v>
      </c>
      <c r="H59" s="12">
        <f t="shared" si="47"/>
        <v>-9.9999999999909051E-3</v>
      </c>
      <c r="J59" s="20">
        <f t="shared" si="91"/>
        <v>-4.9999999999954525E-3</v>
      </c>
      <c r="K59" s="2"/>
      <c r="L59">
        <f t="shared" ref="L59" si="111">L58+1</f>
        <v>51</v>
      </c>
      <c r="M59">
        <v>20</v>
      </c>
      <c r="N59">
        <f t="shared" si="49"/>
        <v>1020</v>
      </c>
      <c r="O59" s="19">
        <v>1019.245</v>
      </c>
      <c r="P59" s="23">
        <f t="shared" si="50"/>
        <v>19.985000000000014</v>
      </c>
      <c r="Q59" s="6">
        <f t="shared" si="36"/>
        <v>-0.75499999999999545</v>
      </c>
      <c r="R59" s="27">
        <f t="shared" si="51"/>
        <v>-1.4999999999986358E-2</v>
      </c>
      <c r="S59" s="19"/>
      <c r="T59" s="35"/>
      <c r="U59" s="19"/>
      <c r="V59" s="15">
        <f t="shared" si="52"/>
        <v>101</v>
      </c>
      <c r="W59" s="15">
        <f t="shared" si="53"/>
        <v>1020</v>
      </c>
      <c r="X59" s="19">
        <v>1019.28</v>
      </c>
      <c r="Y59" s="12">
        <f t="shared" si="54"/>
        <v>1018.88</v>
      </c>
      <c r="Z59" s="27">
        <f t="shared" si="55"/>
        <v>-1.1200000000000045</v>
      </c>
      <c r="AA59" s="30">
        <f t="shared" si="56"/>
        <v>102</v>
      </c>
      <c r="AB59" s="30">
        <v>0</v>
      </c>
      <c r="AC59" s="19">
        <v>0.4</v>
      </c>
      <c r="AD59" s="28">
        <f t="shared" si="37"/>
        <v>1018.88</v>
      </c>
      <c r="AE59" s="29">
        <f t="shared" si="38"/>
        <v>-1.1200000000000045</v>
      </c>
      <c r="AF59" s="19"/>
      <c r="AG59" s="20">
        <f t="shared" si="39"/>
        <v>0.18500000000005912</v>
      </c>
      <c r="AI59" s="15">
        <f t="shared" si="57"/>
        <v>101</v>
      </c>
      <c r="AJ59" s="15">
        <f t="shared" si="58"/>
        <v>1020</v>
      </c>
      <c r="AK59" s="19">
        <v>1019.465</v>
      </c>
      <c r="AL59" s="12">
        <f t="shared" si="59"/>
        <v>1018.895</v>
      </c>
      <c r="AM59" s="27">
        <f t="shared" si="60"/>
        <v>-1.1050000000000182</v>
      </c>
      <c r="AN59" s="30">
        <f t="shared" si="61"/>
        <v>102</v>
      </c>
      <c r="AO59" s="30">
        <v>0</v>
      </c>
      <c r="AP59" s="19">
        <v>0.57999999999999996</v>
      </c>
      <c r="AQ59" s="28">
        <f t="shared" si="40"/>
        <v>1018.885</v>
      </c>
      <c r="AR59" s="29">
        <f t="shared" si="41"/>
        <v>-1.1150000000000091</v>
      </c>
      <c r="AT59" s="36"/>
      <c r="AU59" s="36"/>
      <c r="AW59">
        <f t="shared" si="1"/>
        <v>26</v>
      </c>
      <c r="AX59">
        <f t="shared" si="2"/>
        <v>-20</v>
      </c>
      <c r="AY59">
        <f t="shared" si="3"/>
        <v>1000</v>
      </c>
      <c r="AZ59" s="19">
        <v>-518.97</v>
      </c>
      <c r="BA59" s="2">
        <f t="shared" si="4"/>
        <v>1001.0299999999995</v>
      </c>
      <c r="BB59" s="23">
        <f t="shared" si="5"/>
        <v>-19.980000000000018</v>
      </c>
      <c r="BC59" s="6">
        <f t="shared" si="6"/>
        <v>-1.029999999999518</v>
      </c>
      <c r="BD59" s="12">
        <f t="shared" si="7"/>
        <v>-1.999999999998181E-2</v>
      </c>
      <c r="BF59" s="20">
        <f t="shared" si="42"/>
        <v>-9.9999999999909051E-3</v>
      </c>
      <c r="BH59">
        <f t="shared" si="8"/>
        <v>26</v>
      </c>
      <c r="BI59">
        <f t="shared" si="9"/>
        <v>-20</v>
      </c>
      <c r="BJ59">
        <f t="shared" si="10"/>
        <v>1000</v>
      </c>
      <c r="BK59" s="19">
        <v>-518.98</v>
      </c>
      <c r="BL59" s="2">
        <f t="shared" si="11"/>
        <v>1001.0199999999993</v>
      </c>
      <c r="BM59" s="23">
        <f t="shared" si="104"/>
        <v>-19.990000000000009</v>
      </c>
      <c r="BN59" s="6">
        <f t="shared" si="13"/>
        <v>-1.0199999999992997</v>
      </c>
      <c r="BO59" s="12">
        <f t="shared" si="14"/>
        <v>-9.9999999999909051E-3</v>
      </c>
      <c r="BP59" s="10"/>
      <c r="BQ59" s="35"/>
      <c r="BR59" s="8"/>
      <c r="BS59" s="15">
        <f t="shared" si="15"/>
        <v>51</v>
      </c>
      <c r="BT59" s="15">
        <f t="shared" si="16"/>
        <v>1000</v>
      </c>
      <c r="BU59" s="19">
        <v>-518.98</v>
      </c>
      <c r="BV59" s="12">
        <f t="shared" si="17"/>
        <v>1001.475</v>
      </c>
      <c r="BW59" s="12">
        <f t="shared" si="18"/>
        <v>518.52499999999998</v>
      </c>
      <c r="BX59" s="12">
        <f t="shared" si="19"/>
        <v>-520</v>
      </c>
      <c r="BY59" s="27">
        <f t="shared" si="20"/>
        <v>-1.4750000000000227</v>
      </c>
      <c r="BZ59" s="30">
        <f t="shared" si="21"/>
        <v>52</v>
      </c>
      <c r="CA59" s="30">
        <v>0</v>
      </c>
      <c r="CB59">
        <v>-0.45</v>
      </c>
      <c r="CC59" s="40">
        <f t="shared" si="22"/>
        <v>518.53</v>
      </c>
      <c r="CD59" s="40">
        <f t="shared" si="23"/>
        <v>-1.4700000000000273</v>
      </c>
      <c r="CE59" s="40">
        <f t="shared" si="24"/>
        <v>520</v>
      </c>
      <c r="CF59" s="6"/>
      <c r="CG59" s="20">
        <f t="shared" si="43"/>
        <v>-4.9999999999954525E-3</v>
      </c>
      <c r="CH59" s="10"/>
      <c r="CI59" s="15">
        <f t="shared" si="25"/>
        <v>51</v>
      </c>
      <c r="CJ59" s="15">
        <f t="shared" si="26"/>
        <v>1000</v>
      </c>
      <c r="CK59" s="19">
        <v>-518.97500000000002</v>
      </c>
      <c r="CL59" s="12">
        <f t="shared" si="27"/>
        <v>1001.4599999999999</v>
      </c>
      <c r="CM59" s="12">
        <f t="shared" si="28"/>
        <v>518.54000000000008</v>
      </c>
      <c r="CN59" s="12">
        <f t="shared" si="29"/>
        <v>-520</v>
      </c>
      <c r="CO59" s="27">
        <f t="shared" si="30"/>
        <v>-1.4599999999999227</v>
      </c>
      <c r="CP59" s="30">
        <f t="shared" si="31"/>
        <v>52</v>
      </c>
      <c r="CQ59" s="30">
        <v>0</v>
      </c>
      <c r="CR59">
        <v>-0.435</v>
      </c>
      <c r="CS59" s="40">
        <f t="shared" si="32"/>
        <v>518.54000000000008</v>
      </c>
      <c r="CT59" s="40">
        <f t="shared" si="33"/>
        <v>-1.4599999999999227</v>
      </c>
      <c r="CU59" s="40">
        <f t="shared" si="34"/>
        <v>520</v>
      </c>
      <c r="DB59" s="19"/>
      <c r="DC59" s="2"/>
      <c r="DD59" s="2"/>
      <c r="DE59" s="6"/>
      <c r="DF59" s="2"/>
      <c r="DG59" s="10"/>
    </row>
    <row r="60" spans="2:111" x14ac:dyDescent="0.45">
      <c r="B60">
        <f t="shared" si="44"/>
        <v>52</v>
      </c>
      <c r="C60">
        <v>20</v>
      </c>
      <c r="D60">
        <f t="shared" si="45"/>
        <v>1040</v>
      </c>
      <c r="E60" s="19">
        <v>1039.3699999999999</v>
      </c>
      <c r="F60" s="23">
        <f t="shared" si="46"/>
        <v>19.969999999999914</v>
      </c>
      <c r="G60" s="6">
        <f t="shared" si="35"/>
        <v>-0.63000000000010914</v>
      </c>
      <c r="H60" s="12">
        <f t="shared" si="47"/>
        <v>-3.0000000000086402E-2</v>
      </c>
      <c r="J60" s="20">
        <f t="shared" si="91"/>
        <v>1.5000000000100044E-2</v>
      </c>
      <c r="K60" s="2"/>
      <c r="L60">
        <f t="shared" ref="L60" si="112">L59+1</f>
        <v>52</v>
      </c>
      <c r="M60">
        <v>20</v>
      </c>
      <c r="N60">
        <f t="shared" si="49"/>
        <v>1040</v>
      </c>
      <c r="O60" s="19">
        <v>1039.23</v>
      </c>
      <c r="P60" s="23">
        <f t="shared" si="50"/>
        <v>19.985000000000014</v>
      </c>
      <c r="Q60" s="6">
        <f t="shared" si="36"/>
        <v>-0.76999999999998181</v>
      </c>
      <c r="R60" s="27">
        <f t="shared" si="51"/>
        <v>-1.4999999999986358E-2</v>
      </c>
      <c r="S60" s="19"/>
      <c r="T60" s="35"/>
      <c r="U60" s="19"/>
      <c r="V60" s="15">
        <f t="shared" si="52"/>
        <v>103</v>
      </c>
      <c r="W60" s="15">
        <f t="shared" si="53"/>
        <v>1040</v>
      </c>
      <c r="X60" s="19">
        <v>1039.3050000000001</v>
      </c>
      <c r="Y60" s="12">
        <f t="shared" si="54"/>
        <v>1038.905</v>
      </c>
      <c r="Z60" s="27">
        <f t="shared" si="55"/>
        <v>-1.0950000000000273</v>
      </c>
      <c r="AA60" s="30">
        <f t="shared" si="56"/>
        <v>104</v>
      </c>
      <c r="AB60" s="30">
        <v>0</v>
      </c>
      <c r="AC60" s="19">
        <v>0.39</v>
      </c>
      <c r="AD60" s="28">
        <f t="shared" si="37"/>
        <v>1038.915</v>
      </c>
      <c r="AE60" s="29">
        <f t="shared" si="38"/>
        <v>-1.0850000000000364</v>
      </c>
      <c r="AF60" s="19"/>
      <c r="AG60" s="20">
        <f t="shared" si="39"/>
        <v>0.18499999999994543</v>
      </c>
      <c r="AI60" s="15">
        <f t="shared" si="57"/>
        <v>103</v>
      </c>
      <c r="AJ60" s="15">
        <f t="shared" si="58"/>
        <v>1040</v>
      </c>
      <c r="AK60" s="19">
        <v>1039.49</v>
      </c>
      <c r="AL60" s="12">
        <f t="shared" si="59"/>
        <v>1038.9100000000001</v>
      </c>
      <c r="AM60" s="27">
        <f t="shared" si="60"/>
        <v>-1.0899999999999181</v>
      </c>
      <c r="AN60" s="30">
        <f t="shared" si="61"/>
        <v>104</v>
      </c>
      <c r="AO60" s="30">
        <v>0</v>
      </c>
      <c r="AP60" s="19">
        <v>0.60499999999999998</v>
      </c>
      <c r="AQ60" s="28">
        <f t="shared" si="40"/>
        <v>1038.885</v>
      </c>
      <c r="AR60" s="29">
        <f t="shared" si="41"/>
        <v>-1.1150000000000091</v>
      </c>
      <c r="AT60" s="36"/>
      <c r="AU60" s="36"/>
      <c r="AW60">
        <f t="shared" si="1"/>
        <v>25</v>
      </c>
      <c r="AX60">
        <f t="shared" si="2"/>
        <v>-20</v>
      </c>
      <c r="AY60">
        <f t="shared" si="3"/>
        <v>1020</v>
      </c>
      <c r="AZ60" s="19">
        <v>-498.99</v>
      </c>
      <c r="BA60" s="2">
        <f t="shared" si="4"/>
        <v>1021.0099999999995</v>
      </c>
      <c r="BB60" s="23">
        <f t="shared" si="5"/>
        <v>-19.990000000000009</v>
      </c>
      <c r="BC60" s="6">
        <f t="shared" si="6"/>
        <v>-1.0099999999995362</v>
      </c>
      <c r="BD60" s="12">
        <f t="shared" si="7"/>
        <v>-9.9999999999909051E-3</v>
      </c>
      <c r="BF60" s="20">
        <f t="shared" si="42"/>
        <v>1.999999999998181E-2</v>
      </c>
      <c r="BH60">
        <f t="shared" si="8"/>
        <v>25</v>
      </c>
      <c r="BI60">
        <f t="shared" si="9"/>
        <v>-20</v>
      </c>
      <c r="BJ60">
        <f t="shared" si="10"/>
        <v>1020</v>
      </c>
      <c r="BK60" s="19">
        <v>-498.99</v>
      </c>
      <c r="BL60" s="2">
        <f t="shared" si="11"/>
        <v>1021.0099999999993</v>
      </c>
      <c r="BM60" s="23">
        <f t="shared" si="104"/>
        <v>-19.970000000000027</v>
      </c>
      <c r="BN60" s="6">
        <f t="shared" si="13"/>
        <v>-1.0099999999993088</v>
      </c>
      <c r="BO60" s="12">
        <f t="shared" si="14"/>
        <v>-2.9999999999972715E-2</v>
      </c>
      <c r="BP60" s="10"/>
      <c r="BQ60" s="35"/>
      <c r="BR60" s="8"/>
      <c r="BS60" s="15">
        <f t="shared" si="15"/>
        <v>49</v>
      </c>
      <c r="BT60" s="15">
        <f t="shared" si="16"/>
        <v>1020</v>
      </c>
      <c r="BU60" s="19">
        <v>-498.99</v>
      </c>
      <c r="BV60" s="12">
        <f t="shared" si="17"/>
        <v>1021.47</v>
      </c>
      <c r="BW60" s="12">
        <f t="shared" si="18"/>
        <v>498.53000000000003</v>
      </c>
      <c r="BX60" s="12">
        <f t="shared" si="19"/>
        <v>-500</v>
      </c>
      <c r="BY60" s="27">
        <f t="shared" si="20"/>
        <v>-1.4700000000000273</v>
      </c>
      <c r="BZ60" s="30">
        <f t="shared" si="21"/>
        <v>50</v>
      </c>
      <c r="CA60" s="30">
        <v>0</v>
      </c>
      <c r="CB60">
        <v>-0.45500000000000002</v>
      </c>
      <c r="CC60" s="40">
        <f t="shared" si="22"/>
        <v>498.53500000000003</v>
      </c>
      <c r="CD60" s="40">
        <f t="shared" si="23"/>
        <v>-1.464999999999975</v>
      </c>
      <c r="CE60" s="40">
        <f t="shared" si="24"/>
        <v>500</v>
      </c>
      <c r="CF60" s="6"/>
      <c r="CG60" s="20">
        <f t="shared" si="43"/>
        <v>-4.9999999999954525E-3</v>
      </c>
      <c r="CH60" s="10"/>
      <c r="CI60" s="15">
        <f t="shared" si="25"/>
        <v>49</v>
      </c>
      <c r="CJ60" s="15">
        <f t="shared" si="26"/>
        <v>1020</v>
      </c>
      <c r="CK60" s="19">
        <v>-498.98500000000001</v>
      </c>
      <c r="CL60" s="12">
        <f t="shared" si="27"/>
        <v>1021.4549999999999</v>
      </c>
      <c r="CM60" s="12">
        <f t="shared" si="28"/>
        <v>498.54500000000002</v>
      </c>
      <c r="CN60" s="12">
        <f t="shared" si="29"/>
        <v>-500</v>
      </c>
      <c r="CO60" s="27">
        <f t="shared" si="30"/>
        <v>-1.4549999999999272</v>
      </c>
      <c r="CP60" s="30">
        <f t="shared" si="31"/>
        <v>50</v>
      </c>
      <c r="CQ60" s="30">
        <v>0</v>
      </c>
      <c r="CR60">
        <v>-0.435</v>
      </c>
      <c r="CS60" s="40">
        <f t="shared" si="32"/>
        <v>498.55</v>
      </c>
      <c r="CT60" s="40">
        <f t="shared" si="33"/>
        <v>-1.4499999999999886</v>
      </c>
      <c r="CU60" s="40">
        <f t="shared" si="34"/>
        <v>500</v>
      </c>
      <c r="DB60" s="19"/>
      <c r="DC60" s="2"/>
      <c r="DD60" s="2"/>
      <c r="DE60" s="6"/>
      <c r="DF60" s="2"/>
      <c r="DG60" s="10"/>
    </row>
    <row r="61" spans="2:111" x14ac:dyDescent="0.45">
      <c r="B61">
        <f t="shared" si="44"/>
        <v>53</v>
      </c>
      <c r="C61">
        <v>20</v>
      </c>
      <c r="D61">
        <f t="shared" si="45"/>
        <v>1060</v>
      </c>
      <c r="E61" s="19">
        <v>1059.4000000000001</v>
      </c>
      <c r="F61" s="23">
        <f t="shared" si="46"/>
        <v>20.0300000000002</v>
      </c>
      <c r="G61" s="6">
        <f t="shared" si="35"/>
        <v>-0.59999999999990905</v>
      </c>
      <c r="H61" s="12">
        <f t="shared" si="47"/>
        <v>3.0000000000200089E-2</v>
      </c>
      <c r="J61" s="20">
        <f t="shared" si="91"/>
        <v>-1.5000000000327418E-2</v>
      </c>
      <c r="K61" s="2"/>
      <c r="L61">
        <f t="shared" ref="L61" si="113">L60+1</f>
        <v>53</v>
      </c>
      <c r="M61">
        <v>20</v>
      </c>
      <c r="N61">
        <f t="shared" si="49"/>
        <v>1060</v>
      </c>
      <c r="O61" s="19">
        <v>1059.2449999999999</v>
      </c>
      <c r="P61" s="23">
        <f t="shared" si="50"/>
        <v>20.014999999999873</v>
      </c>
      <c r="Q61" s="6">
        <f t="shared" si="36"/>
        <v>-0.75500000000010914</v>
      </c>
      <c r="R61" s="27">
        <f t="shared" si="51"/>
        <v>1.4999999999872671E-2</v>
      </c>
      <c r="S61" s="19"/>
      <c r="T61" s="35"/>
      <c r="U61" s="19"/>
      <c r="V61" s="15">
        <f t="shared" si="52"/>
        <v>105</v>
      </c>
      <c r="W61" s="15">
        <f t="shared" si="53"/>
        <v>1060</v>
      </c>
      <c r="X61" s="19">
        <v>1059.2950000000001</v>
      </c>
      <c r="Y61" s="12">
        <f t="shared" si="54"/>
        <v>1058.905</v>
      </c>
      <c r="Z61" s="27">
        <f t="shared" si="55"/>
        <v>-1.0950000000000273</v>
      </c>
      <c r="AA61" s="30">
        <f t="shared" si="56"/>
        <v>106</v>
      </c>
      <c r="AB61" s="30">
        <v>0</v>
      </c>
      <c r="AC61" s="19">
        <v>0.4</v>
      </c>
      <c r="AD61" s="28">
        <f t="shared" si="37"/>
        <v>1058.895</v>
      </c>
      <c r="AE61" s="29">
        <f t="shared" si="38"/>
        <v>-1.1050000000000182</v>
      </c>
      <c r="AF61" s="19"/>
      <c r="AG61" s="20">
        <f t="shared" si="39"/>
        <v>0.20499999999992724</v>
      </c>
      <c r="AI61" s="15">
        <f t="shared" si="57"/>
        <v>105</v>
      </c>
      <c r="AJ61" s="15">
        <f t="shared" si="58"/>
        <v>1060</v>
      </c>
      <c r="AK61" s="19">
        <v>1059.5</v>
      </c>
      <c r="AL61" s="12">
        <f t="shared" si="59"/>
        <v>1058.895</v>
      </c>
      <c r="AM61" s="27">
        <f t="shared" si="60"/>
        <v>-1.1050000000000182</v>
      </c>
      <c r="AN61" s="30">
        <f t="shared" si="61"/>
        <v>106</v>
      </c>
      <c r="AO61" s="30">
        <v>0</v>
      </c>
      <c r="AP61" s="19">
        <v>0.63</v>
      </c>
      <c r="AQ61" s="28">
        <f t="shared" si="40"/>
        <v>1058.8699999999999</v>
      </c>
      <c r="AR61" s="29">
        <f t="shared" si="41"/>
        <v>-1.1300000000001091</v>
      </c>
      <c r="AT61" s="36"/>
      <c r="AU61" s="36"/>
      <c r="AW61">
        <f t="shared" si="1"/>
        <v>24</v>
      </c>
      <c r="AX61">
        <f t="shared" si="2"/>
        <v>-20</v>
      </c>
      <c r="AY61">
        <f t="shared" si="3"/>
        <v>1040</v>
      </c>
      <c r="AZ61" s="19">
        <v>-479</v>
      </c>
      <c r="BA61" s="2">
        <f t="shared" si="4"/>
        <v>1040.9999999999995</v>
      </c>
      <c r="BB61" s="23">
        <f t="shared" si="5"/>
        <v>-19.995000000000005</v>
      </c>
      <c r="BC61" s="6">
        <f t="shared" si="6"/>
        <v>-0.99999999999954525</v>
      </c>
      <c r="BD61" s="12">
        <f t="shared" si="7"/>
        <v>-4.9999999999954525E-3</v>
      </c>
      <c r="BF61" s="20">
        <f t="shared" si="42"/>
        <v>-1.4999999999986358E-2</v>
      </c>
      <c r="BH61">
        <f t="shared" si="8"/>
        <v>24</v>
      </c>
      <c r="BI61">
        <f t="shared" si="9"/>
        <v>-20</v>
      </c>
      <c r="BJ61">
        <f t="shared" si="10"/>
        <v>1040</v>
      </c>
      <c r="BK61" s="19">
        <v>-479.02</v>
      </c>
      <c r="BL61" s="2">
        <f t="shared" si="11"/>
        <v>1040.9799999999993</v>
      </c>
      <c r="BM61" s="23">
        <f t="shared" si="104"/>
        <v>-20.009999999999991</v>
      </c>
      <c r="BN61" s="6">
        <f t="shared" si="13"/>
        <v>-0.97999999999933607</v>
      </c>
      <c r="BO61" s="12">
        <f t="shared" si="14"/>
        <v>9.9999999999909051E-3</v>
      </c>
      <c r="BP61" s="10"/>
      <c r="BQ61" s="35"/>
      <c r="BR61" s="8"/>
      <c r="BS61" s="15">
        <f t="shared" si="15"/>
        <v>47</v>
      </c>
      <c r="BT61" s="15">
        <f t="shared" si="16"/>
        <v>1040</v>
      </c>
      <c r="BU61" s="19">
        <v>-479.02</v>
      </c>
      <c r="BV61" s="12">
        <f t="shared" si="17"/>
        <v>1041.4349999999999</v>
      </c>
      <c r="BW61" s="12">
        <f t="shared" si="18"/>
        <v>478.565</v>
      </c>
      <c r="BX61" s="12">
        <f t="shared" si="19"/>
        <v>-480</v>
      </c>
      <c r="BY61" s="27">
        <f t="shared" si="20"/>
        <v>-1.4349999999999454</v>
      </c>
      <c r="BZ61" s="30">
        <f t="shared" si="21"/>
        <v>48</v>
      </c>
      <c r="CA61" s="30">
        <v>0</v>
      </c>
      <c r="CB61">
        <v>-0.46</v>
      </c>
      <c r="CC61" s="40">
        <f t="shared" si="22"/>
        <v>478.56</v>
      </c>
      <c r="CD61" s="40">
        <f t="shared" si="23"/>
        <v>-1.4399999999999977</v>
      </c>
      <c r="CE61" s="40">
        <f t="shared" si="24"/>
        <v>480</v>
      </c>
      <c r="CF61" s="6"/>
      <c r="CG61" s="20">
        <f t="shared" si="43"/>
        <v>-1.4999999999986358E-2</v>
      </c>
      <c r="CH61" s="10"/>
      <c r="CI61" s="15">
        <f t="shared" si="25"/>
        <v>47</v>
      </c>
      <c r="CJ61" s="15">
        <f t="shared" si="26"/>
        <v>1040</v>
      </c>
      <c r="CK61" s="19">
        <v>-479.005</v>
      </c>
      <c r="CL61" s="12">
        <f t="shared" si="27"/>
        <v>1041.43</v>
      </c>
      <c r="CM61" s="12">
        <f t="shared" si="28"/>
        <v>478.57</v>
      </c>
      <c r="CN61" s="12">
        <f t="shared" si="29"/>
        <v>-480</v>
      </c>
      <c r="CO61" s="27">
        <f t="shared" si="30"/>
        <v>-1.4300000000000637</v>
      </c>
      <c r="CP61" s="30">
        <f t="shared" si="31"/>
        <v>48</v>
      </c>
      <c r="CQ61" s="30">
        <v>0</v>
      </c>
      <c r="CR61">
        <v>-0.44</v>
      </c>
      <c r="CS61" s="40">
        <f t="shared" si="32"/>
        <v>478.565</v>
      </c>
      <c r="CT61" s="40">
        <f t="shared" si="33"/>
        <v>-1.4350000000000023</v>
      </c>
      <c r="CU61" s="40">
        <f t="shared" si="34"/>
        <v>480</v>
      </c>
      <c r="DB61" s="19"/>
      <c r="DC61" s="2"/>
      <c r="DD61" s="2"/>
      <c r="DE61" s="6"/>
      <c r="DF61" s="2"/>
      <c r="DG61" s="10"/>
    </row>
    <row r="62" spans="2:111" x14ac:dyDescent="0.45">
      <c r="B62">
        <f t="shared" si="44"/>
        <v>54</v>
      </c>
      <c r="C62">
        <v>20</v>
      </c>
      <c r="D62">
        <f t="shared" si="45"/>
        <v>1080</v>
      </c>
      <c r="E62" s="19">
        <v>1079.415</v>
      </c>
      <c r="F62" s="23">
        <f t="shared" si="46"/>
        <v>20.014999999999873</v>
      </c>
      <c r="G62" s="6">
        <f t="shared" si="35"/>
        <v>-0.58500000000003638</v>
      </c>
      <c r="H62" s="12">
        <f t="shared" si="47"/>
        <v>1.4999999999872671E-2</v>
      </c>
      <c r="J62" s="20">
        <f t="shared" si="91"/>
        <v>5.000000000336513E-3</v>
      </c>
      <c r="K62" s="2"/>
      <c r="L62">
        <f t="shared" ref="L62" si="114">L61+1</f>
        <v>54</v>
      </c>
      <c r="M62">
        <v>20</v>
      </c>
      <c r="N62">
        <f t="shared" si="49"/>
        <v>1080</v>
      </c>
      <c r="O62" s="19">
        <v>1079.2650000000001</v>
      </c>
      <c r="P62" s="23">
        <f t="shared" si="50"/>
        <v>20.020000000000209</v>
      </c>
      <c r="Q62" s="6">
        <f t="shared" si="36"/>
        <v>-0.73499999999989996</v>
      </c>
      <c r="R62" s="27">
        <f t="shared" si="51"/>
        <v>2.0000000000209184E-2</v>
      </c>
      <c r="S62" s="19"/>
      <c r="T62" s="35"/>
      <c r="U62" s="19"/>
      <c r="V62" s="15">
        <f t="shared" si="52"/>
        <v>107</v>
      </c>
      <c r="W62" s="15">
        <f t="shared" si="53"/>
        <v>1080</v>
      </c>
      <c r="X62" s="19">
        <v>1079.31</v>
      </c>
      <c r="Y62" s="12">
        <f t="shared" si="54"/>
        <v>1078.9099999999999</v>
      </c>
      <c r="Z62" s="27">
        <f t="shared" si="55"/>
        <v>-1.0900000000001455</v>
      </c>
      <c r="AA62" s="30">
        <f t="shared" si="56"/>
        <v>108</v>
      </c>
      <c r="AB62" s="30">
        <v>0</v>
      </c>
      <c r="AC62" s="19">
        <v>0.39500000000000002</v>
      </c>
      <c r="AD62" s="28">
        <f t="shared" si="37"/>
        <v>1078.915</v>
      </c>
      <c r="AE62" s="29">
        <f t="shared" si="38"/>
        <v>-1.0850000000000364</v>
      </c>
      <c r="AF62" s="19"/>
      <c r="AG62" s="20">
        <f t="shared" si="39"/>
        <v>0.23500000000012733</v>
      </c>
      <c r="AI62" s="15">
        <f t="shared" si="57"/>
        <v>107</v>
      </c>
      <c r="AJ62" s="15">
        <f t="shared" si="58"/>
        <v>1080</v>
      </c>
      <c r="AK62" s="19">
        <v>1079.5450000000001</v>
      </c>
      <c r="AL62" s="12">
        <f t="shared" si="59"/>
        <v>1078.915</v>
      </c>
      <c r="AM62" s="27">
        <f t="shared" si="60"/>
        <v>-1.0850000000000364</v>
      </c>
      <c r="AN62" s="30">
        <f t="shared" si="61"/>
        <v>108</v>
      </c>
      <c r="AO62" s="30">
        <v>0</v>
      </c>
      <c r="AP62" s="19">
        <v>0.72</v>
      </c>
      <c r="AQ62" s="28">
        <f t="shared" si="40"/>
        <v>1078.825</v>
      </c>
      <c r="AR62" s="29">
        <f t="shared" si="41"/>
        <v>-1.1749999999999545</v>
      </c>
      <c r="AT62" s="36"/>
      <c r="AU62" s="36"/>
      <c r="AW62">
        <f t="shared" si="1"/>
        <v>23</v>
      </c>
      <c r="AX62">
        <f t="shared" si="2"/>
        <v>-20</v>
      </c>
      <c r="AY62">
        <f t="shared" si="3"/>
        <v>1060</v>
      </c>
      <c r="AZ62" s="19">
        <v>-459.005</v>
      </c>
      <c r="BA62" s="2">
        <f t="shared" si="4"/>
        <v>1060.9949999999994</v>
      </c>
      <c r="BB62" s="23">
        <f t="shared" si="5"/>
        <v>-20.034999999999968</v>
      </c>
      <c r="BC62" s="6">
        <f t="shared" si="6"/>
        <v>-0.99499999999943611</v>
      </c>
      <c r="BD62" s="12">
        <f t="shared" si="7"/>
        <v>3.4999999999968168E-2</v>
      </c>
      <c r="BF62" s="20">
        <f t="shared" si="42"/>
        <v>-1.0000000000047748E-2</v>
      </c>
      <c r="BH62">
        <f t="shared" si="8"/>
        <v>23</v>
      </c>
      <c r="BI62">
        <f t="shared" si="9"/>
        <v>-20</v>
      </c>
      <c r="BJ62">
        <f t="shared" si="10"/>
        <v>1060</v>
      </c>
      <c r="BK62" s="19">
        <v>-459.01</v>
      </c>
      <c r="BL62" s="2">
        <f t="shared" si="11"/>
        <v>1060.9899999999993</v>
      </c>
      <c r="BM62" s="23">
        <f t="shared" si="104"/>
        <v>-20.045000000000016</v>
      </c>
      <c r="BN62" s="6">
        <f t="shared" si="13"/>
        <v>-0.98999999999932697</v>
      </c>
      <c r="BO62" s="12">
        <f t="shared" si="14"/>
        <v>4.5000000000015916E-2</v>
      </c>
      <c r="BP62" s="10"/>
      <c r="BQ62" s="35"/>
      <c r="BR62" s="8"/>
      <c r="BS62" s="15">
        <f t="shared" si="15"/>
        <v>45</v>
      </c>
      <c r="BT62" s="15">
        <f t="shared" si="16"/>
        <v>1060</v>
      </c>
      <c r="BU62" s="19">
        <v>-459.01</v>
      </c>
      <c r="BV62" s="12">
        <f t="shared" si="17"/>
        <v>1061.45</v>
      </c>
      <c r="BW62" s="12">
        <f t="shared" si="18"/>
        <v>458.55</v>
      </c>
      <c r="BX62" s="12">
        <f t="shared" si="19"/>
        <v>-460</v>
      </c>
      <c r="BY62" s="27">
        <f t="shared" si="20"/>
        <v>-1.4500000000000455</v>
      </c>
      <c r="BZ62" s="30">
        <f t="shared" si="21"/>
        <v>46</v>
      </c>
      <c r="CA62" s="30">
        <v>0</v>
      </c>
      <c r="CB62">
        <v>-0.45500000000000002</v>
      </c>
      <c r="CC62" s="40">
        <f t="shared" si="22"/>
        <v>458.55500000000001</v>
      </c>
      <c r="CD62" s="40">
        <f t="shared" si="23"/>
        <v>-1.4449999999999932</v>
      </c>
      <c r="CE62" s="40">
        <f t="shared" si="24"/>
        <v>460</v>
      </c>
      <c r="CF62" s="6"/>
      <c r="CG62" s="20">
        <f t="shared" si="43"/>
        <v>-1.999999999998181E-2</v>
      </c>
      <c r="CH62" s="10"/>
      <c r="CI62" s="15">
        <f t="shared" si="25"/>
        <v>45</v>
      </c>
      <c r="CJ62" s="15">
        <f t="shared" si="26"/>
        <v>1060</v>
      </c>
      <c r="CK62" s="19">
        <v>-458.99</v>
      </c>
      <c r="CL62" s="12">
        <f t="shared" si="27"/>
        <v>1061.44</v>
      </c>
      <c r="CM62" s="12">
        <f t="shared" si="28"/>
        <v>458.56</v>
      </c>
      <c r="CN62" s="12">
        <f t="shared" si="29"/>
        <v>-460</v>
      </c>
      <c r="CO62" s="27">
        <f t="shared" si="30"/>
        <v>-1.4400000000000546</v>
      </c>
      <c r="CP62" s="30">
        <f t="shared" si="31"/>
        <v>46</v>
      </c>
      <c r="CQ62" s="30">
        <v>0</v>
      </c>
      <c r="CR62">
        <v>-0.435</v>
      </c>
      <c r="CS62" s="40">
        <f t="shared" si="32"/>
        <v>458.55500000000001</v>
      </c>
      <c r="CT62" s="40">
        <f t="shared" si="33"/>
        <v>-1.4449999999999932</v>
      </c>
      <c r="CU62" s="40">
        <f t="shared" si="34"/>
        <v>460</v>
      </c>
      <c r="DB62" s="19"/>
      <c r="DC62" s="2"/>
      <c r="DD62" s="2"/>
      <c r="DE62" s="6"/>
      <c r="DF62" s="2"/>
      <c r="DG62" s="10"/>
    </row>
    <row r="63" spans="2:111" x14ac:dyDescent="0.45">
      <c r="B63">
        <f t="shared" si="44"/>
        <v>55</v>
      </c>
      <c r="C63">
        <v>20</v>
      </c>
      <c r="D63">
        <f t="shared" si="45"/>
        <v>1100</v>
      </c>
      <c r="E63" s="19">
        <v>1099.4000000000001</v>
      </c>
      <c r="F63" s="23">
        <f t="shared" si="46"/>
        <v>19.985000000000127</v>
      </c>
      <c r="G63" s="6">
        <f t="shared" si="35"/>
        <v>-0.59999999999990905</v>
      </c>
      <c r="H63" s="12">
        <f t="shared" si="47"/>
        <v>-1.4999999999872671E-2</v>
      </c>
      <c r="J63" s="20">
        <f t="shared" si="91"/>
        <v>-1.5000000000327418E-2</v>
      </c>
      <c r="K63" s="2"/>
      <c r="L63">
        <f t="shared" ref="L63" si="115">L62+1</f>
        <v>55</v>
      </c>
      <c r="M63">
        <v>20</v>
      </c>
      <c r="N63">
        <f t="shared" si="49"/>
        <v>1100</v>
      </c>
      <c r="O63" s="19">
        <v>1099.2349999999999</v>
      </c>
      <c r="P63" s="23">
        <f t="shared" si="50"/>
        <v>19.9699999999998</v>
      </c>
      <c r="Q63" s="6">
        <f t="shared" si="36"/>
        <v>-0.76500000000010004</v>
      </c>
      <c r="R63" s="27">
        <f t="shared" si="51"/>
        <v>-3.0000000000200089E-2</v>
      </c>
      <c r="S63" s="19"/>
      <c r="T63" s="35"/>
      <c r="U63" s="19"/>
      <c r="V63" s="15">
        <f t="shared" si="52"/>
        <v>109</v>
      </c>
      <c r="W63" s="15">
        <f t="shared" si="53"/>
        <v>1100</v>
      </c>
      <c r="X63" s="19">
        <v>1099.325</v>
      </c>
      <c r="Y63" s="12">
        <f t="shared" si="54"/>
        <v>1098.93</v>
      </c>
      <c r="Z63" s="27">
        <f t="shared" si="55"/>
        <v>-1.0699999999999363</v>
      </c>
      <c r="AA63" s="30">
        <f t="shared" si="56"/>
        <v>110</v>
      </c>
      <c r="AB63" s="30">
        <v>0</v>
      </c>
      <c r="AC63" s="19">
        <v>0.39</v>
      </c>
      <c r="AD63" s="28">
        <f t="shared" si="37"/>
        <v>1098.9349999999999</v>
      </c>
      <c r="AE63" s="29">
        <f t="shared" si="38"/>
        <v>-1.0650000000000546</v>
      </c>
      <c r="AF63" s="19"/>
      <c r="AG63" s="20">
        <f t="shared" si="39"/>
        <v>0.21000000000003638</v>
      </c>
      <c r="AI63" s="15">
        <f t="shared" si="57"/>
        <v>109</v>
      </c>
      <c r="AJ63" s="15">
        <f t="shared" si="58"/>
        <v>1100</v>
      </c>
      <c r="AK63" s="19">
        <v>1099.5350000000001</v>
      </c>
      <c r="AL63" s="12">
        <f t="shared" si="59"/>
        <v>1098.8150000000001</v>
      </c>
      <c r="AM63" s="27">
        <f t="shared" si="60"/>
        <v>-1.1849999999999454</v>
      </c>
      <c r="AN63" s="30">
        <f t="shared" si="61"/>
        <v>110</v>
      </c>
      <c r="AO63" s="30">
        <v>0</v>
      </c>
      <c r="AP63" s="19">
        <v>0.86</v>
      </c>
      <c r="AQ63" s="28">
        <f t="shared" si="40"/>
        <v>1098.6750000000002</v>
      </c>
      <c r="AR63" s="29">
        <f t="shared" si="41"/>
        <v>-1.3249999999998181</v>
      </c>
      <c r="AT63" s="36"/>
      <c r="AU63" s="36"/>
      <c r="AW63">
        <f t="shared" si="1"/>
        <v>22</v>
      </c>
      <c r="AX63">
        <f t="shared" si="2"/>
        <v>-20</v>
      </c>
      <c r="AY63">
        <f t="shared" si="3"/>
        <v>1080</v>
      </c>
      <c r="AZ63" s="19">
        <v>-438.97</v>
      </c>
      <c r="BA63" s="2">
        <f t="shared" si="4"/>
        <v>1081.0299999999995</v>
      </c>
      <c r="BB63" s="23">
        <f t="shared" si="5"/>
        <v>-20.005000000000052</v>
      </c>
      <c r="BC63" s="6">
        <f t="shared" si="6"/>
        <v>-1.029999999999518</v>
      </c>
      <c r="BD63" s="12">
        <f t="shared" si="7"/>
        <v>5.0000000000522959E-3</v>
      </c>
      <c r="BF63" s="20">
        <f t="shared" si="42"/>
        <v>1.0000000000104592E-2</v>
      </c>
      <c r="BH63">
        <f t="shared" si="8"/>
        <v>22</v>
      </c>
      <c r="BI63">
        <f t="shared" si="9"/>
        <v>-20</v>
      </c>
      <c r="BJ63">
        <f t="shared" si="10"/>
        <v>1080</v>
      </c>
      <c r="BK63" s="19">
        <v>-438.96499999999997</v>
      </c>
      <c r="BL63" s="2">
        <f t="shared" si="11"/>
        <v>1081.0349999999994</v>
      </c>
      <c r="BM63" s="23">
        <f t="shared" si="104"/>
        <v>-19.994999999999948</v>
      </c>
      <c r="BN63" s="6">
        <f t="shared" si="13"/>
        <v>-1.0349999999993997</v>
      </c>
      <c r="BO63" s="12">
        <f t="shared" si="14"/>
        <v>-5.0000000000522959E-3</v>
      </c>
      <c r="BP63" s="10"/>
      <c r="BQ63" s="35"/>
      <c r="BR63" s="8"/>
      <c r="BS63" s="15">
        <f t="shared" si="15"/>
        <v>43</v>
      </c>
      <c r="BT63" s="15">
        <f t="shared" si="16"/>
        <v>1080</v>
      </c>
      <c r="BU63" s="19">
        <v>-438.96499999999997</v>
      </c>
      <c r="BV63" s="12">
        <f t="shared" si="17"/>
        <v>1081.48</v>
      </c>
      <c r="BW63" s="12">
        <f t="shared" si="18"/>
        <v>438.52</v>
      </c>
      <c r="BX63" s="12">
        <f t="shared" si="19"/>
        <v>-440</v>
      </c>
      <c r="BY63" s="27">
        <f t="shared" si="20"/>
        <v>-1.4800000000000182</v>
      </c>
      <c r="BZ63" s="30">
        <f t="shared" si="21"/>
        <v>44</v>
      </c>
      <c r="CA63" s="30">
        <v>0</v>
      </c>
      <c r="CB63">
        <v>-0.46</v>
      </c>
      <c r="CC63" s="40">
        <f t="shared" si="22"/>
        <v>438.505</v>
      </c>
      <c r="CD63" s="40">
        <f t="shared" si="23"/>
        <v>-1.4950000000000045</v>
      </c>
      <c r="CE63" s="40">
        <f t="shared" si="24"/>
        <v>440</v>
      </c>
      <c r="CF63" s="6"/>
      <c r="CG63" s="20">
        <f t="shared" si="43"/>
        <v>-4.9999999999954525E-3</v>
      </c>
      <c r="CH63" s="10"/>
      <c r="CI63" s="15">
        <f t="shared" si="25"/>
        <v>43</v>
      </c>
      <c r="CJ63" s="15">
        <f t="shared" si="26"/>
        <v>1080</v>
      </c>
      <c r="CK63" s="19">
        <v>-438.96</v>
      </c>
      <c r="CL63" s="12">
        <f t="shared" si="27"/>
        <v>1081.4650000000001</v>
      </c>
      <c r="CM63" s="12">
        <f t="shared" si="28"/>
        <v>438.53499999999997</v>
      </c>
      <c r="CN63" s="12">
        <f t="shared" si="29"/>
        <v>-440</v>
      </c>
      <c r="CO63" s="27">
        <f t="shared" si="30"/>
        <v>-1.4650000000001455</v>
      </c>
      <c r="CP63" s="30">
        <f t="shared" si="31"/>
        <v>44</v>
      </c>
      <c r="CQ63" s="30">
        <v>0</v>
      </c>
      <c r="CR63">
        <v>-0.43</v>
      </c>
      <c r="CS63" s="40">
        <f t="shared" si="32"/>
        <v>438.53</v>
      </c>
      <c r="CT63" s="40">
        <f t="shared" si="33"/>
        <v>-1.4700000000000273</v>
      </c>
      <c r="CU63" s="40">
        <f t="shared" si="34"/>
        <v>440</v>
      </c>
      <c r="DB63" s="19"/>
      <c r="DC63" s="2"/>
      <c r="DD63" s="2"/>
      <c r="DE63" s="6"/>
      <c r="DF63" s="2"/>
      <c r="DG63" s="10"/>
    </row>
    <row r="64" spans="2:111" x14ac:dyDescent="0.45">
      <c r="B64">
        <f t="shared" si="44"/>
        <v>56</v>
      </c>
      <c r="C64">
        <v>20</v>
      </c>
      <c r="D64">
        <f t="shared" si="45"/>
        <v>1120</v>
      </c>
      <c r="E64" s="19">
        <v>1119.3150000000001</v>
      </c>
      <c r="F64" s="23">
        <f t="shared" si="46"/>
        <v>19.914999999999964</v>
      </c>
      <c r="G64" s="6">
        <f t="shared" si="35"/>
        <v>-0.68499999999994543</v>
      </c>
      <c r="H64" s="12">
        <f t="shared" si="47"/>
        <v>-8.500000000003638E-2</v>
      </c>
      <c r="J64" s="20">
        <f t="shared" si="91"/>
        <v>3.0000000000200089E-2</v>
      </c>
      <c r="K64" s="2"/>
      <c r="L64">
        <f t="shared" ref="L64" si="116">L63+1</f>
        <v>56</v>
      </c>
      <c r="M64">
        <v>20</v>
      </c>
      <c r="N64">
        <f t="shared" si="49"/>
        <v>1120</v>
      </c>
      <c r="O64" s="19">
        <v>1119.18</v>
      </c>
      <c r="P64" s="23">
        <f t="shared" si="50"/>
        <v>19.945000000000164</v>
      </c>
      <c r="Q64" s="6">
        <f t="shared" si="36"/>
        <v>-0.81999999999993634</v>
      </c>
      <c r="R64" s="27">
        <f t="shared" si="51"/>
        <v>-5.4999999999836291E-2</v>
      </c>
      <c r="S64" s="19"/>
      <c r="T64" s="35"/>
      <c r="U64" s="19"/>
      <c r="V64" s="15">
        <f t="shared" si="52"/>
        <v>111</v>
      </c>
      <c r="W64" s="15">
        <f t="shared" si="53"/>
        <v>1120</v>
      </c>
      <c r="X64" s="19">
        <v>1119.25</v>
      </c>
      <c r="Y64" s="12">
        <f t="shared" si="54"/>
        <v>1118.8599999999999</v>
      </c>
      <c r="Z64" s="27">
        <f t="shared" si="55"/>
        <v>-1.1400000000001</v>
      </c>
      <c r="AA64" s="30">
        <f t="shared" si="56"/>
        <v>112</v>
      </c>
      <c r="AB64" s="30">
        <v>0</v>
      </c>
      <c r="AC64" s="19">
        <v>0.39500000000000002</v>
      </c>
      <c r="AD64" s="28">
        <f t="shared" si="37"/>
        <v>1118.855</v>
      </c>
      <c r="AE64" s="29">
        <f t="shared" si="38"/>
        <v>-1.1449999999999818</v>
      </c>
      <c r="AF64" s="19"/>
      <c r="AG64" s="20">
        <f t="shared" si="39"/>
        <v>0.21000000000003638</v>
      </c>
      <c r="AI64" s="15">
        <f t="shared" si="57"/>
        <v>111</v>
      </c>
      <c r="AJ64" s="15">
        <f t="shared" si="58"/>
        <v>1120</v>
      </c>
      <c r="AK64" s="19">
        <v>1119.46</v>
      </c>
      <c r="AL64" s="12">
        <f t="shared" si="59"/>
        <v>1118.6000000000001</v>
      </c>
      <c r="AM64" s="27">
        <f t="shared" si="60"/>
        <v>-1.3999999999998636</v>
      </c>
      <c r="AN64" s="30">
        <f t="shared" si="61"/>
        <v>112</v>
      </c>
      <c r="AO64" s="30">
        <v>0</v>
      </c>
      <c r="AP64" s="19">
        <v>0.88500000000000001</v>
      </c>
      <c r="AQ64" s="28">
        <f t="shared" si="40"/>
        <v>1118.575</v>
      </c>
      <c r="AR64" s="29">
        <f t="shared" si="41"/>
        <v>-1.4249999999999545</v>
      </c>
      <c r="AT64" s="36"/>
      <c r="AU64" s="36"/>
      <c r="AW64">
        <f t="shared" si="1"/>
        <v>21</v>
      </c>
      <c r="AX64">
        <f t="shared" si="2"/>
        <v>-20</v>
      </c>
      <c r="AY64">
        <f t="shared" si="3"/>
        <v>1100</v>
      </c>
      <c r="AZ64" s="19">
        <v>-418.96499999999997</v>
      </c>
      <c r="BA64" s="2">
        <f t="shared" si="4"/>
        <v>1101.0349999999996</v>
      </c>
      <c r="BB64" s="23">
        <f t="shared" si="5"/>
        <v>-19.949999999999989</v>
      </c>
      <c r="BC64" s="6">
        <f t="shared" si="6"/>
        <v>-1.0349999999996271</v>
      </c>
      <c r="BD64" s="12">
        <f t="shared" si="7"/>
        <v>-5.0000000000011369E-2</v>
      </c>
      <c r="BF64" s="20">
        <f t="shared" si="42"/>
        <v>-1.0000000000047748E-2</v>
      </c>
      <c r="BH64">
        <f t="shared" si="8"/>
        <v>21</v>
      </c>
      <c r="BI64">
        <f t="shared" si="9"/>
        <v>-20</v>
      </c>
      <c r="BJ64">
        <f t="shared" si="10"/>
        <v>1100</v>
      </c>
      <c r="BK64" s="19">
        <v>-418.97</v>
      </c>
      <c r="BL64" s="2">
        <f t="shared" si="11"/>
        <v>1101.0299999999993</v>
      </c>
      <c r="BM64" s="23">
        <f t="shared" si="104"/>
        <v>-19.960000000000036</v>
      </c>
      <c r="BN64" s="6">
        <f t="shared" si="13"/>
        <v>-1.0299999999992906</v>
      </c>
      <c r="BO64" s="12">
        <f t="shared" si="14"/>
        <v>-3.999999999996362E-2</v>
      </c>
      <c r="BP64" s="10"/>
      <c r="BQ64" s="35"/>
      <c r="BR64" s="8"/>
      <c r="BS64" s="15">
        <f t="shared" si="15"/>
        <v>41</v>
      </c>
      <c r="BT64" s="15">
        <f t="shared" si="16"/>
        <v>1100</v>
      </c>
      <c r="BU64" s="19">
        <v>-418.97</v>
      </c>
      <c r="BV64" s="12">
        <f t="shared" si="17"/>
        <v>1101.4849999999999</v>
      </c>
      <c r="BW64" s="12">
        <f t="shared" si="18"/>
        <v>418.51500000000004</v>
      </c>
      <c r="BX64" s="12">
        <f t="shared" si="19"/>
        <v>-420</v>
      </c>
      <c r="BY64" s="27">
        <f t="shared" si="20"/>
        <v>-1.4849999999999</v>
      </c>
      <c r="BZ64" s="30">
        <f t="shared" si="21"/>
        <v>42</v>
      </c>
      <c r="CA64" s="30">
        <v>0</v>
      </c>
      <c r="CB64">
        <v>-0.44500000000000001</v>
      </c>
      <c r="CC64" s="40">
        <f t="shared" si="22"/>
        <v>418.52500000000003</v>
      </c>
      <c r="CD64" s="40">
        <f t="shared" si="23"/>
        <v>-1.4749999999999659</v>
      </c>
      <c r="CE64" s="40">
        <f t="shared" si="24"/>
        <v>420</v>
      </c>
      <c r="CF64" s="6"/>
      <c r="CG64" s="20">
        <f t="shared" si="43"/>
        <v>-5.0000000000522959E-3</v>
      </c>
      <c r="CH64" s="10"/>
      <c r="CI64" s="15">
        <f t="shared" si="25"/>
        <v>41</v>
      </c>
      <c r="CJ64" s="15">
        <f t="shared" si="26"/>
        <v>1100</v>
      </c>
      <c r="CK64" s="19">
        <v>-418.96499999999997</v>
      </c>
      <c r="CL64" s="12">
        <f t="shared" si="27"/>
        <v>1101.4650000000001</v>
      </c>
      <c r="CM64" s="12">
        <f t="shared" si="28"/>
        <v>418.53499999999997</v>
      </c>
      <c r="CN64" s="12">
        <f t="shared" si="29"/>
        <v>-420</v>
      </c>
      <c r="CO64" s="27">
        <f t="shared" si="30"/>
        <v>-1.4650000000001455</v>
      </c>
      <c r="CP64" s="30">
        <f t="shared" si="31"/>
        <v>42</v>
      </c>
      <c r="CQ64" s="30">
        <v>0</v>
      </c>
      <c r="CR64">
        <v>-0.42499999999999999</v>
      </c>
      <c r="CS64" s="40">
        <f t="shared" si="32"/>
        <v>418.53999999999996</v>
      </c>
      <c r="CT64" s="40">
        <f t="shared" si="33"/>
        <v>-1.4600000000000364</v>
      </c>
      <c r="CU64" s="40">
        <f t="shared" si="34"/>
        <v>420</v>
      </c>
      <c r="DB64" s="19"/>
      <c r="DC64" s="2"/>
      <c r="DD64" s="2"/>
      <c r="DE64" s="6"/>
      <c r="DF64" s="2"/>
      <c r="DG64" s="10"/>
    </row>
    <row r="65" spans="2:111" x14ac:dyDescent="0.45">
      <c r="B65">
        <f t="shared" si="44"/>
        <v>57</v>
      </c>
      <c r="C65">
        <v>20</v>
      </c>
      <c r="D65">
        <f t="shared" si="45"/>
        <v>1140</v>
      </c>
      <c r="E65" s="19">
        <v>1139.1949999999999</v>
      </c>
      <c r="F65" s="23">
        <f t="shared" si="46"/>
        <v>19.879999999999882</v>
      </c>
      <c r="G65" s="6">
        <f t="shared" si="35"/>
        <v>-0.80500000000006366</v>
      </c>
      <c r="H65" s="12">
        <f t="shared" si="47"/>
        <v>-0.12000000000011823</v>
      </c>
      <c r="J65" s="20">
        <f t="shared" si="91"/>
        <v>2.5000000000090949E-2</v>
      </c>
      <c r="K65" s="2"/>
      <c r="L65">
        <f t="shared" ref="L65" si="117">L64+1</f>
        <v>57</v>
      </c>
      <c r="M65">
        <v>20</v>
      </c>
      <c r="N65">
        <f t="shared" si="49"/>
        <v>1140</v>
      </c>
      <c r="O65" s="19">
        <v>1139.085</v>
      </c>
      <c r="P65" s="23">
        <f t="shared" si="50"/>
        <v>19.904999999999973</v>
      </c>
      <c r="Q65" s="6">
        <f t="shared" si="36"/>
        <v>-0.91499999999996362</v>
      </c>
      <c r="R65" s="27">
        <f t="shared" si="51"/>
        <v>-9.5000000000027285E-2</v>
      </c>
      <c r="S65" s="19"/>
      <c r="T65" s="35"/>
      <c r="U65" s="19"/>
      <c r="V65" s="15">
        <f t="shared" si="52"/>
        <v>113</v>
      </c>
      <c r="W65" s="15">
        <f t="shared" si="53"/>
        <v>1140</v>
      </c>
      <c r="X65" s="19">
        <v>1139.1600000000001</v>
      </c>
      <c r="Y65" s="12">
        <f t="shared" si="54"/>
        <v>1138.7650000000001</v>
      </c>
      <c r="Z65" s="27">
        <f t="shared" si="55"/>
        <v>-1.2349999999999</v>
      </c>
      <c r="AA65" s="30">
        <f t="shared" si="56"/>
        <v>114</v>
      </c>
      <c r="AB65" s="30">
        <v>0</v>
      </c>
      <c r="AC65" s="19">
        <v>0.4</v>
      </c>
      <c r="AD65" s="28">
        <f t="shared" si="37"/>
        <v>1138.76</v>
      </c>
      <c r="AE65" s="29">
        <f t="shared" si="38"/>
        <v>-1.2400000000000091</v>
      </c>
      <c r="AF65" s="19"/>
      <c r="AG65" s="20">
        <f t="shared" si="39"/>
        <v>0.21499999999991815</v>
      </c>
      <c r="AI65" s="15">
        <f t="shared" si="57"/>
        <v>113</v>
      </c>
      <c r="AJ65" s="15">
        <f t="shared" si="58"/>
        <v>1140</v>
      </c>
      <c r="AK65" s="19">
        <v>1139.375</v>
      </c>
      <c r="AL65" s="12">
        <f t="shared" si="59"/>
        <v>1138.49</v>
      </c>
      <c r="AM65" s="27">
        <f t="shared" si="60"/>
        <v>-1.5099999999999909</v>
      </c>
      <c r="AN65" s="30">
        <f t="shared" si="61"/>
        <v>114</v>
      </c>
      <c r="AO65" s="30">
        <v>0</v>
      </c>
      <c r="AP65" s="19">
        <v>0.89</v>
      </c>
      <c r="AQ65" s="28">
        <f t="shared" si="40"/>
        <v>1138.4849999999999</v>
      </c>
      <c r="AR65" s="29">
        <f t="shared" si="41"/>
        <v>-1.5150000000001</v>
      </c>
      <c r="AT65" s="36"/>
      <c r="AU65" s="36"/>
      <c r="AW65">
        <f t="shared" si="1"/>
        <v>20</v>
      </c>
      <c r="AX65">
        <f t="shared" si="2"/>
        <v>-20</v>
      </c>
      <c r="AY65">
        <f t="shared" si="3"/>
        <v>1120</v>
      </c>
      <c r="AZ65" s="19">
        <v>-399.01499999999999</v>
      </c>
      <c r="BA65" s="2">
        <f t="shared" si="4"/>
        <v>1120.9849999999997</v>
      </c>
      <c r="BB65" s="23">
        <f t="shared" si="5"/>
        <v>-19.919999999999959</v>
      </c>
      <c r="BC65" s="6">
        <f t="shared" si="6"/>
        <v>-0.98499999999967258</v>
      </c>
      <c r="BD65" s="12">
        <f t="shared" si="7"/>
        <v>-8.0000000000040927E-2</v>
      </c>
      <c r="BF65" s="20">
        <f t="shared" si="42"/>
        <v>2.4999999999977263E-2</v>
      </c>
      <c r="BH65">
        <f t="shared" si="8"/>
        <v>20</v>
      </c>
      <c r="BI65">
        <f t="shared" si="9"/>
        <v>-20</v>
      </c>
      <c r="BJ65">
        <f t="shared" si="10"/>
        <v>1120</v>
      </c>
      <c r="BK65" s="19">
        <v>-399.01</v>
      </c>
      <c r="BL65" s="2">
        <f t="shared" si="11"/>
        <v>1120.9899999999993</v>
      </c>
      <c r="BM65" s="23">
        <f t="shared" si="104"/>
        <v>-19.894999999999982</v>
      </c>
      <c r="BN65" s="6">
        <f t="shared" si="13"/>
        <v>-0.98999999999932697</v>
      </c>
      <c r="BO65" s="12">
        <f t="shared" si="14"/>
        <v>-0.10500000000001819</v>
      </c>
      <c r="BP65" s="10"/>
      <c r="BQ65" s="35"/>
      <c r="BR65" s="8"/>
      <c r="BS65" s="15">
        <f t="shared" si="15"/>
        <v>39</v>
      </c>
      <c r="BT65" s="15">
        <f t="shared" si="16"/>
        <v>1120</v>
      </c>
      <c r="BU65" s="19">
        <v>-399.01</v>
      </c>
      <c r="BV65" s="12">
        <f t="shared" si="17"/>
        <v>1121.425</v>
      </c>
      <c r="BW65" s="12">
        <f t="shared" si="18"/>
        <v>398.57499999999999</v>
      </c>
      <c r="BX65" s="12">
        <f t="shared" si="19"/>
        <v>-400</v>
      </c>
      <c r="BY65" s="27">
        <f t="shared" si="20"/>
        <v>-1.4249999999999545</v>
      </c>
      <c r="BZ65" s="30">
        <f t="shared" si="21"/>
        <v>40</v>
      </c>
      <c r="CA65" s="30">
        <v>0</v>
      </c>
      <c r="CB65">
        <v>-0.45500000000000002</v>
      </c>
      <c r="CC65" s="40">
        <f t="shared" si="22"/>
        <v>398.55500000000001</v>
      </c>
      <c r="CD65" s="40">
        <f t="shared" si="23"/>
        <v>-1.4449999999999932</v>
      </c>
      <c r="CE65" s="40">
        <f t="shared" si="24"/>
        <v>400</v>
      </c>
      <c r="CF65" s="6"/>
      <c r="CG65" s="20">
        <f t="shared" si="43"/>
        <v>4.9999999999954525E-3</v>
      </c>
      <c r="CH65" s="10"/>
      <c r="CI65" s="15">
        <f t="shared" si="25"/>
        <v>39</v>
      </c>
      <c r="CJ65" s="15">
        <f t="shared" si="26"/>
        <v>1120</v>
      </c>
      <c r="CK65" s="19">
        <v>-399.01499999999999</v>
      </c>
      <c r="CL65" s="12">
        <f t="shared" si="27"/>
        <v>1121.405</v>
      </c>
      <c r="CM65" s="12">
        <f t="shared" si="28"/>
        <v>398.59499999999997</v>
      </c>
      <c r="CN65" s="12">
        <f t="shared" si="29"/>
        <v>-400</v>
      </c>
      <c r="CO65" s="27">
        <f t="shared" si="30"/>
        <v>-1.4049999999999727</v>
      </c>
      <c r="CP65" s="30">
        <f t="shared" si="31"/>
        <v>40</v>
      </c>
      <c r="CQ65" s="30">
        <v>0</v>
      </c>
      <c r="CR65">
        <v>-0.43</v>
      </c>
      <c r="CS65" s="40">
        <f t="shared" si="32"/>
        <v>398.58499999999998</v>
      </c>
      <c r="CT65" s="40">
        <f t="shared" si="33"/>
        <v>-1.4150000000000205</v>
      </c>
      <c r="CU65" s="40">
        <f t="shared" si="34"/>
        <v>400</v>
      </c>
      <c r="DB65" s="19"/>
      <c r="DC65" s="2"/>
      <c r="DD65" s="2"/>
      <c r="DE65" s="6"/>
      <c r="DF65" s="2"/>
      <c r="DG65" s="10"/>
    </row>
    <row r="66" spans="2:111" x14ac:dyDescent="0.45">
      <c r="B66">
        <f t="shared" si="44"/>
        <v>58</v>
      </c>
      <c r="C66">
        <v>20</v>
      </c>
      <c r="D66">
        <f t="shared" si="45"/>
        <v>1160</v>
      </c>
      <c r="E66" s="19">
        <v>1159.135</v>
      </c>
      <c r="F66" s="23">
        <f t="shared" si="46"/>
        <v>19.940000000000055</v>
      </c>
      <c r="G66" s="6">
        <f t="shared" si="35"/>
        <v>-0.86500000000000909</v>
      </c>
      <c r="H66" s="12">
        <f t="shared" si="47"/>
        <v>-5.999999999994543E-2</v>
      </c>
      <c r="J66" s="20">
        <f t="shared" si="91"/>
        <v>-5.0000000001091394E-3</v>
      </c>
      <c r="K66" s="2"/>
      <c r="L66">
        <f t="shared" ref="L66" si="118">L65+1</f>
        <v>58</v>
      </c>
      <c r="M66">
        <v>20</v>
      </c>
      <c r="N66">
        <f t="shared" si="49"/>
        <v>1160</v>
      </c>
      <c r="O66" s="19">
        <v>1159.02</v>
      </c>
      <c r="P66" s="23">
        <f t="shared" si="50"/>
        <v>19.934999999999945</v>
      </c>
      <c r="Q66" s="6">
        <f t="shared" si="36"/>
        <v>-0.98000000000001819</v>
      </c>
      <c r="R66" s="27">
        <f t="shared" si="51"/>
        <v>-6.500000000005457E-2</v>
      </c>
      <c r="S66" s="19"/>
      <c r="T66" s="35"/>
      <c r="U66" s="19"/>
      <c r="V66" s="15">
        <f t="shared" si="52"/>
        <v>115</v>
      </c>
      <c r="W66" s="15">
        <f t="shared" si="53"/>
        <v>1160</v>
      </c>
      <c r="X66" s="19">
        <v>1159.0999999999999</v>
      </c>
      <c r="Y66" s="12">
        <f t="shared" si="54"/>
        <v>1158.6999999999998</v>
      </c>
      <c r="Z66" s="27">
        <f t="shared" si="55"/>
        <v>-1.3000000000001819</v>
      </c>
      <c r="AA66" s="30">
        <f t="shared" si="56"/>
        <v>116</v>
      </c>
      <c r="AB66" s="30">
        <v>0</v>
      </c>
      <c r="AC66" s="19">
        <v>0.40500000000000003</v>
      </c>
      <c r="AD66" s="28">
        <f t="shared" si="37"/>
        <v>1158.6949999999999</v>
      </c>
      <c r="AE66" s="29">
        <f t="shared" si="38"/>
        <v>-1.3050000000000637</v>
      </c>
      <c r="AF66" s="19"/>
      <c r="AG66" s="20">
        <f t="shared" si="39"/>
        <v>0.10500000000001819</v>
      </c>
      <c r="AI66" s="15">
        <f t="shared" si="57"/>
        <v>115</v>
      </c>
      <c r="AJ66" s="15">
        <f t="shared" si="58"/>
        <v>1160</v>
      </c>
      <c r="AK66" s="19">
        <v>1159.2049999999999</v>
      </c>
      <c r="AL66" s="12">
        <f t="shared" si="59"/>
        <v>1158.3149999999998</v>
      </c>
      <c r="AM66" s="27">
        <f t="shared" si="60"/>
        <v>-1.6850000000001728</v>
      </c>
      <c r="AN66" s="30">
        <f t="shared" si="61"/>
        <v>116</v>
      </c>
      <c r="AO66" s="30">
        <v>0</v>
      </c>
      <c r="AP66" s="19">
        <v>0.89</v>
      </c>
      <c r="AQ66" s="28">
        <f t="shared" si="40"/>
        <v>1158.3149999999998</v>
      </c>
      <c r="AR66" s="29">
        <f t="shared" si="41"/>
        <v>-1.6850000000001728</v>
      </c>
      <c r="AT66" s="36"/>
      <c r="AU66" s="36"/>
      <c r="AW66">
        <f t="shared" si="1"/>
        <v>19</v>
      </c>
      <c r="AX66">
        <f t="shared" si="2"/>
        <v>-20</v>
      </c>
      <c r="AY66">
        <f t="shared" si="3"/>
        <v>1140</v>
      </c>
      <c r="AZ66" s="19">
        <v>-379.09500000000003</v>
      </c>
      <c r="BA66" s="2">
        <f t="shared" si="4"/>
        <v>1140.9049999999997</v>
      </c>
      <c r="BB66" s="23">
        <f t="shared" si="5"/>
        <v>-19.980000000000018</v>
      </c>
      <c r="BC66" s="6">
        <f t="shared" si="6"/>
        <v>-0.90499999999974534</v>
      </c>
      <c r="BD66" s="12">
        <f t="shared" si="7"/>
        <v>-1.999999999998181E-2</v>
      </c>
      <c r="BF66" s="20">
        <f t="shared" si="42"/>
        <v>-9.9999999999909051E-3</v>
      </c>
      <c r="BH66">
        <f t="shared" si="8"/>
        <v>19</v>
      </c>
      <c r="BI66">
        <f t="shared" si="9"/>
        <v>-20</v>
      </c>
      <c r="BJ66">
        <f t="shared" si="10"/>
        <v>1140</v>
      </c>
      <c r="BK66" s="19">
        <v>-379.11500000000001</v>
      </c>
      <c r="BL66" s="2">
        <f t="shared" si="11"/>
        <v>1140.8849999999993</v>
      </c>
      <c r="BM66" s="23">
        <f t="shared" si="104"/>
        <v>-19.990000000000009</v>
      </c>
      <c r="BN66" s="6">
        <f t="shared" si="13"/>
        <v>-0.88499999999930878</v>
      </c>
      <c r="BO66" s="12">
        <f t="shared" si="14"/>
        <v>-9.9999999999909051E-3</v>
      </c>
      <c r="BP66" s="10"/>
      <c r="BQ66" s="35"/>
      <c r="BR66" s="8"/>
      <c r="BS66" s="15">
        <f t="shared" si="15"/>
        <v>37</v>
      </c>
      <c r="BT66" s="15">
        <f t="shared" si="16"/>
        <v>1140</v>
      </c>
      <c r="BU66" s="19">
        <v>-379.11500000000001</v>
      </c>
      <c r="BV66" s="12">
        <f t="shared" si="17"/>
        <v>1141.3399999999999</v>
      </c>
      <c r="BW66" s="12">
        <f t="shared" si="18"/>
        <v>378.66</v>
      </c>
      <c r="BX66" s="12">
        <f t="shared" si="19"/>
        <v>-380</v>
      </c>
      <c r="BY66" s="27">
        <f t="shared" si="20"/>
        <v>-1.3399999999999181</v>
      </c>
      <c r="BZ66" s="30">
        <f t="shared" si="21"/>
        <v>38</v>
      </c>
      <c r="CA66" s="30">
        <v>0</v>
      </c>
      <c r="CB66">
        <v>-0.435</v>
      </c>
      <c r="CC66" s="40">
        <f t="shared" si="22"/>
        <v>378.68</v>
      </c>
      <c r="CD66" s="40">
        <f t="shared" si="23"/>
        <v>-1.3199999999999932</v>
      </c>
      <c r="CE66" s="40">
        <f t="shared" si="24"/>
        <v>380</v>
      </c>
      <c r="CF66" s="6"/>
      <c r="CG66" s="20">
        <f t="shared" si="43"/>
        <v>-4.0000000000020464E-2</v>
      </c>
      <c r="CH66" s="10"/>
      <c r="CI66" s="15">
        <f t="shared" si="25"/>
        <v>37</v>
      </c>
      <c r="CJ66" s="15">
        <f t="shared" si="26"/>
        <v>1140</v>
      </c>
      <c r="CK66" s="19">
        <v>-379.07499999999999</v>
      </c>
      <c r="CL66" s="12">
        <f t="shared" si="27"/>
        <v>1141.365</v>
      </c>
      <c r="CM66" s="12">
        <f t="shared" si="28"/>
        <v>378.63499999999999</v>
      </c>
      <c r="CN66" s="12">
        <f t="shared" si="29"/>
        <v>-380</v>
      </c>
      <c r="CO66" s="27">
        <f t="shared" si="30"/>
        <v>-1.3650000000000091</v>
      </c>
      <c r="CP66" s="30">
        <f t="shared" si="31"/>
        <v>38</v>
      </c>
      <c r="CQ66" s="30">
        <v>0</v>
      </c>
      <c r="CR66">
        <v>-0.42</v>
      </c>
      <c r="CS66" s="40">
        <f t="shared" si="32"/>
        <v>378.65499999999997</v>
      </c>
      <c r="CT66" s="40">
        <f t="shared" si="33"/>
        <v>-1.3450000000000273</v>
      </c>
      <c r="CU66" s="40">
        <f t="shared" si="34"/>
        <v>380</v>
      </c>
      <c r="DB66" s="19"/>
      <c r="DC66" s="2"/>
      <c r="DD66" s="2"/>
      <c r="DE66" s="6"/>
      <c r="DF66" s="2"/>
      <c r="DG66" s="10"/>
    </row>
    <row r="67" spans="2:111" x14ac:dyDescent="0.45">
      <c r="B67">
        <f t="shared" si="44"/>
        <v>59</v>
      </c>
      <c r="C67">
        <v>20</v>
      </c>
      <c r="D67">
        <f t="shared" si="45"/>
        <v>1180</v>
      </c>
      <c r="E67" s="19">
        <v>1179.095</v>
      </c>
      <c r="F67" s="23">
        <f t="shared" si="46"/>
        <v>19.960000000000036</v>
      </c>
      <c r="G67" s="6">
        <f t="shared" si="35"/>
        <v>-0.90499999999997272</v>
      </c>
      <c r="H67" s="12">
        <f t="shared" si="47"/>
        <v>-3.999999999996362E-2</v>
      </c>
      <c r="J67" s="20">
        <f t="shared" si="91"/>
        <v>4.9999999998817657E-3</v>
      </c>
      <c r="K67" s="2"/>
      <c r="L67">
        <f t="shared" ref="L67" si="119">L66+1</f>
        <v>59</v>
      </c>
      <c r="M67">
        <v>20</v>
      </c>
      <c r="N67">
        <f t="shared" si="49"/>
        <v>1180</v>
      </c>
      <c r="O67" s="19">
        <v>1178.9849999999999</v>
      </c>
      <c r="P67" s="23">
        <f t="shared" si="50"/>
        <v>19.964999999999918</v>
      </c>
      <c r="Q67" s="6">
        <f t="shared" si="36"/>
        <v>-1.0150000000001</v>
      </c>
      <c r="R67" s="27">
        <f t="shared" si="51"/>
        <v>-3.5000000000081855E-2</v>
      </c>
      <c r="S67" s="19"/>
      <c r="T67" s="35"/>
      <c r="U67" s="19"/>
      <c r="V67" s="15">
        <f t="shared" si="52"/>
        <v>117</v>
      </c>
      <c r="W67" s="15">
        <f t="shared" si="53"/>
        <v>1180</v>
      </c>
      <c r="X67" s="19">
        <v>1179.085</v>
      </c>
      <c r="Y67" s="12">
        <f t="shared" si="54"/>
        <v>1178.68</v>
      </c>
      <c r="Z67" s="27">
        <f t="shared" si="55"/>
        <v>-1.3199999999999363</v>
      </c>
      <c r="AA67" s="30">
        <f t="shared" si="56"/>
        <v>118</v>
      </c>
      <c r="AB67" s="30">
        <v>0</v>
      </c>
      <c r="AC67" s="19">
        <v>0.56000000000000005</v>
      </c>
      <c r="AD67" s="28">
        <f t="shared" si="37"/>
        <v>1178.5250000000001</v>
      </c>
      <c r="AE67" s="29">
        <f t="shared" si="38"/>
        <v>-1.4749999999999091</v>
      </c>
      <c r="AF67" s="19"/>
      <c r="AG67" s="20">
        <f t="shared" si="39"/>
        <v>9.9999999999909051E-2</v>
      </c>
      <c r="AI67" s="15">
        <f t="shared" si="57"/>
        <v>117</v>
      </c>
      <c r="AJ67" s="15">
        <f t="shared" si="58"/>
        <v>1180</v>
      </c>
      <c r="AK67" s="19">
        <v>1179.1849999999999</v>
      </c>
      <c r="AL67" s="12">
        <f t="shared" si="59"/>
        <v>1178.2949999999998</v>
      </c>
      <c r="AM67" s="27">
        <f t="shared" si="60"/>
        <v>-1.7050000000001546</v>
      </c>
      <c r="AN67" s="30">
        <f t="shared" si="61"/>
        <v>118</v>
      </c>
      <c r="AO67" s="30">
        <v>0</v>
      </c>
      <c r="AP67" s="19">
        <v>0.89500000000000002</v>
      </c>
      <c r="AQ67" s="28">
        <f t="shared" si="40"/>
        <v>1178.29</v>
      </c>
      <c r="AR67" s="29">
        <f t="shared" si="41"/>
        <v>-1.7100000000000364</v>
      </c>
      <c r="AT67" s="36"/>
      <c r="AU67" s="36"/>
      <c r="AW67">
        <f t="shared" si="1"/>
        <v>18</v>
      </c>
      <c r="AX67">
        <f t="shared" si="2"/>
        <v>-20</v>
      </c>
      <c r="AY67">
        <f t="shared" si="3"/>
        <v>1160</v>
      </c>
      <c r="AZ67" s="19">
        <v>-359.11500000000001</v>
      </c>
      <c r="BA67" s="2">
        <f t="shared" si="4"/>
        <v>1160.8849999999998</v>
      </c>
      <c r="BB67" s="23">
        <f t="shared" si="5"/>
        <v>-19.965000000000032</v>
      </c>
      <c r="BC67" s="6">
        <f t="shared" si="6"/>
        <v>-0.88499999999976353</v>
      </c>
      <c r="BD67" s="12">
        <f t="shared" si="7"/>
        <v>-3.4999999999968168E-2</v>
      </c>
      <c r="BF67" s="20">
        <f t="shared" si="42"/>
        <v>1.5000000000043201E-2</v>
      </c>
      <c r="BH67">
        <f t="shared" si="8"/>
        <v>18</v>
      </c>
      <c r="BI67">
        <f t="shared" si="9"/>
        <v>-20</v>
      </c>
      <c r="BJ67">
        <f t="shared" si="10"/>
        <v>1160</v>
      </c>
      <c r="BK67" s="19">
        <v>-359.125</v>
      </c>
      <c r="BL67" s="2">
        <f t="shared" si="11"/>
        <v>1160.8749999999993</v>
      </c>
      <c r="BM67" s="23">
        <f t="shared" si="104"/>
        <v>-19.949999999999989</v>
      </c>
      <c r="BN67" s="6">
        <f t="shared" si="13"/>
        <v>-0.87499999999931788</v>
      </c>
      <c r="BO67" s="12">
        <f t="shared" si="14"/>
        <v>-5.0000000000011369E-2</v>
      </c>
      <c r="BP67" s="10"/>
      <c r="BQ67" s="35"/>
      <c r="BR67" s="8"/>
      <c r="BS67" s="15">
        <f t="shared" si="15"/>
        <v>35</v>
      </c>
      <c r="BT67" s="15">
        <f t="shared" si="16"/>
        <v>1160</v>
      </c>
      <c r="BU67" s="19">
        <v>-359.125</v>
      </c>
      <c r="BV67" s="12">
        <f t="shared" si="17"/>
        <v>1161.325</v>
      </c>
      <c r="BW67" s="12">
        <f t="shared" si="18"/>
        <v>358.67500000000001</v>
      </c>
      <c r="BX67" s="12">
        <f t="shared" si="19"/>
        <v>-360</v>
      </c>
      <c r="BY67" s="27">
        <f t="shared" si="20"/>
        <v>-1.3250000000000455</v>
      </c>
      <c r="BZ67" s="30">
        <f t="shared" si="21"/>
        <v>36</v>
      </c>
      <c r="CA67" s="30">
        <v>0</v>
      </c>
      <c r="CB67">
        <v>-0.45500000000000002</v>
      </c>
      <c r="CC67" s="40">
        <f t="shared" si="22"/>
        <v>358.67</v>
      </c>
      <c r="CD67" s="40">
        <f t="shared" si="23"/>
        <v>-1.3299999999999841</v>
      </c>
      <c r="CE67" s="40">
        <f t="shared" si="24"/>
        <v>360</v>
      </c>
      <c r="CF67" s="6"/>
      <c r="CG67" s="20">
        <f t="shared" si="43"/>
        <v>-1.999999999998181E-2</v>
      </c>
      <c r="CH67" s="10"/>
      <c r="CI67" s="15">
        <f t="shared" si="25"/>
        <v>35</v>
      </c>
      <c r="CJ67" s="15">
        <f t="shared" si="26"/>
        <v>1160</v>
      </c>
      <c r="CK67" s="19">
        <v>-359.10500000000002</v>
      </c>
      <c r="CL67" s="12">
        <f t="shared" si="27"/>
        <v>1161.325</v>
      </c>
      <c r="CM67" s="12">
        <f t="shared" si="28"/>
        <v>358.67500000000001</v>
      </c>
      <c r="CN67" s="12">
        <f t="shared" si="29"/>
        <v>-360</v>
      </c>
      <c r="CO67" s="27">
        <f t="shared" si="30"/>
        <v>-1.3250000000000455</v>
      </c>
      <c r="CP67" s="30">
        <f t="shared" si="31"/>
        <v>36</v>
      </c>
      <c r="CQ67" s="30">
        <v>0</v>
      </c>
      <c r="CR67">
        <v>-0.44</v>
      </c>
      <c r="CS67" s="40">
        <f t="shared" si="32"/>
        <v>358.66500000000002</v>
      </c>
      <c r="CT67" s="40">
        <f t="shared" si="33"/>
        <v>-1.3349999999999795</v>
      </c>
      <c r="CU67" s="40">
        <f t="shared" si="34"/>
        <v>360</v>
      </c>
      <c r="DB67" s="19"/>
      <c r="DC67" s="2"/>
      <c r="DD67" s="2"/>
      <c r="DE67" s="6"/>
      <c r="DF67" s="2"/>
      <c r="DG67" s="10"/>
    </row>
    <row r="68" spans="2:111" x14ac:dyDescent="0.45">
      <c r="B68">
        <f t="shared" si="44"/>
        <v>60</v>
      </c>
      <c r="C68">
        <v>20</v>
      </c>
      <c r="D68">
        <f t="shared" si="45"/>
        <v>1200</v>
      </c>
      <c r="E68" s="19">
        <v>1199.095</v>
      </c>
      <c r="F68" s="23">
        <f t="shared" si="46"/>
        <v>20</v>
      </c>
      <c r="G68" s="6">
        <f t="shared" si="35"/>
        <v>-0.90499999999997272</v>
      </c>
      <c r="H68" s="12">
        <f t="shared" si="47"/>
        <v>0</v>
      </c>
      <c r="J68" s="20">
        <f t="shared" si="91"/>
        <v>5.0000000001091394E-3</v>
      </c>
      <c r="K68" s="2"/>
      <c r="L68">
        <f t="shared" ref="L68" si="120">L67+1</f>
        <v>60</v>
      </c>
      <c r="M68">
        <v>20</v>
      </c>
      <c r="N68">
        <f t="shared" si="49"/>
        <v>1200</v>
      </c>
      <c r="O68" s="19">
        <v>1198.99</v>
      </c>
      <c r="P68" s="23">
        <f t="shared" si="50"/>
        <v>20.005000000000109</v>
      </c>
      <c r="Q68" s="6">
        <f t="shared" si="36"/>
        <v>-1.0099999999999909</v>
      </c>
      <c r="R68" s="27">
        <f t="shared" si="51"/>
        <v>5.0000000001091394E-3</v>
      </c>
      <c r="S68" s="19"/>
      <c r="T68" s="35"/>
      <c r="U68" s="19"/>
      <c r="V68" s="15">
        <f t="shared" si="52"/>
        <v>119</v>
      </c>
      <c r="W68" s="15">
        <f t="shared" si="53"/>
        <v>1200</v>
      </c>
      <c r="X68" s="19">
        <v>1199.105</v>
      </c>
      <c r="Y68" s="12">
        <f t="shared" si="54"/>
        <v>1198.5450000000001</v>
      </c>
      <c r="Z68" s="27">
        <f t="shared" si="55"/>
        <v>-1.4549999999999272</v>
      </c>
      <c r="AA68" s="30">
        <f t="shared" si="56"/>
        <v>120</v>
      </c>
      <c r="AB68" s="30">
        <v>0</v>
      </c>
      <c r="AC68" s="19">
        <v>0.6</v>
      </c>
      <c r="AD68" s="28">
        <f t="shared" si="37"/>
        <v>1198.5050000000001</v>
      </c>
      <c r="AE68" s="29">
        <f t="shared" si="38"/>
        <v>-1.4949999999998909</v>
      </c>
      <c r="AF68" s="19"/>
      <c r="AG68" s="20">
        <f t="shared" si="39"/>
        <v>9.9999999999909051E-2</v>
      </c>
      <c r="AI68" s="15">
        <f t="shared" si="57"/>
        <v>119</v>
      </c>
      <c r="AJ68" s="15">
        <f t="shared" si="58"/>
        <v>1200</v>
      </c>
      <c r="AK68" s="19">
        <v>1199.2049999999999</v>
      </c>
      <c r="AL68" s="12">
        <f t="shared" si="59"/>
        <v>1198.31</v>
      </c>
      <c r="AM68" s="27">
        <f t="shared" si="60"/>
        <v>-1.6900000000000546</v>
      </c>
      <c r="AN68" s="30">
        <f t="shared" si="61"/>
        <v>120</v>
      </c>
      <c r="AO68" s="30">
        <v>0</v>
      </c>
      <c r="AP68" s="19">
        <v>0.89500000000000002</v>
      </c>
      <c r="AQ68" s="28">
        <f t="shared" si="40"/>
        <v>1198.31</v>
      </c>
      <c r="AR68" s="29">
        <f t="shared" si="41"/>
        <v>-1.6900000000000546</v>
      </c>
      <c r="AT68" s="36"/>
      <c r="AU68" s="36"/>
      <c r="AW68">
        <f t="shared" si="1"/>
        <v>17</v>
      </c>
      <c r="AX68">
        <f t="shared" si="2"/>
        <v>-20</v>
      </c>
      <c r="AY68">
        <f t="shared" si="3"/>
        <v>1180</v>
      </c>
      <c r="AZ68" s="19">
        <v>-339.15</v>
      </c>
      <c r="BA68" s="2">
        <f t="shared" si="4"/>
        <v>1180.8499999999999</v>
      </c>
      <c r="BB68" s="23">
        <f t="shared" si="5"/>
        <v>-20.014999999999986</v>
      </c>
      <c r="BC68" s="6">
        <f t="shared" si="6"/>
        <v>-0.84999999999990905</v>
      </c>
      <c r="BD68" s="12">
        <f t="shared" si="7"/>
        <v>1.4999999999986358E-2</v>
      </c>
      <c r="BF68" s="20">
        <f t="shared" si="42"/>
        <v>-5.0000000000522959E-3</v>
      </c>
      <c r="BH68">
        <f t="shared" si="8"/>
        <v>17</v>
      </c>
      <c r="BI68">
        <f t="shared" si="9"/>
        <v>-20</v>
      </c>
      <c r="BJ68">
        <f t="shared" si="10"/>
        <v>1180</v>
      </c>
      <c r="BK68" s="19">
        <v>-339.17500000000001</v>
      </c>
      <c r="BL68" s="2">
        <f t="shared" si="11"/>
        <v>1180.8249999999994</v>
      </c>
      <c r="BM68" s="23">
        <f t="shared" si="104"/>
        <v>-20.020000000000039</v>
      </c>
      <c r="BN68" s="6">
        <f t="shared" si="13"/>
        <v>-0.82499999999936335</v>
      </c>
      <c r="BO68" s="12">
        <f t="shared" si="14"/>
        <v>2.0000000000038654E-2</v>
      </c>
      <c r="BP68" s="10"/>
      <c r="BQ68" s="35"/>
      <c r="BR68" s="8"/>
      <c r="BS68" s="15">
        <f t="shared" si="15"/>
        <v>33</v>
      </c>
      <c r="BT68" s="15">
        <f t="shared" si="16"/>
        <v>1180</v>
      </c>
      <c r="BU68" s="19">
        <v>-339.17500000000001</v>
      </c>
      <c r="BV68" s="12">
        <f t="shared" si="17"/>
        <v>1181.2649999999999</v>
      </c>
      <c r="BW68" s="12">
        <f t="shared" si="18"/>
        <v>338.73500000000001</v>
      </c>
      <c r="BX68" s="12">
        <f t="shared" si="19"/>
        <v>-340</v>
      </c>
      <c r="BY68" s="27">
        <f t="shared" si="20"/>
        <v>-1.2649999999998727</v>
      </c>
      <c r="BZ68" s="30">
        <f t="shared" si="21"/>
        <v>34</v>
      </c>
      <c r="CA68" s="30">
        <v>0</v>
      </c>
      <c r="CB68">
        <v>-0.45</v>
      </c>
      <c r="CC68" s="40">
        <f t="shared" si="22"/>
        <v>338.72500000000002</v>
      </c>
      <c r="CD68" s="40">
        <f t="shared" si="23"/>
        <v>-1.2749999999999773</v>
      </c>
      <c r="CE68" s="40">
        <f t="shared" si="24"/>
        <v>340</v>
      </c>
      <c r="CF68" s="6"/>
      <c r="CG68" s="20">
        <f t="shared" si="43"/>
        <v>-2.0000000000038654E-2</v>
      </c>
      <c r="CH68" s="10"/>
      <c r="CI68" s="15">
        <f t="shared" si="25"/>
        <v>33</v>
      </c>
      <c r="CJ68" s="15">
        <f t="shared" si="26"/>
        <v>1180</v>
      </c>
      <c r="CK68" s="19">
        <v>-339.15499999999997</v>
      </c>
      <c r="CL68" s="12">
        <f t="shared" si="27"/>
        <v>1181.2650000000001</v>
      </c>
      <c r="CM68" s="12">
        <f t="shared" si="28"/>
        <v>338.73499999999996</v>
      </c>
      <c r="CN68" s="12">
        <f t="shared" si="29"/>
        <v>-340</v>
      </c>
      <c r="CO68" s="27">
        <f t="shared" si="30"/>
        <v>-1.2650000000001</v>
      </c>
      <c r="CP68" s="30">
        <f t="shared" si="31"/>
        <v>34</v>
      </c>
      <c r="CQ68" s="30">
        <v>0</v>
      </c>
      <c r="CR68">
        <v>-0.43</v>
      </c>
      <c r="CS68" s="40">
        <f t="shared" si="32"/>
        <v>338.72499999999997</v>
      </c>
      <c r="CT68" s="40">
        <f t="shared" si="33"/>
        <v>-1.2750000000000341</v>
      </c>
      <c r="CU68" s="40">
        <f t="shared" si="34"/>
        <v>340</v>
      </c>
      <c r="DB68" s="19"/>
      <c r="DC68" s="2"/>
      <c r="DD68" s="2"/>
      <c r="DE68" s="6"/>
      <c r="DF68" s="2"/>
      <c r="DG68" s="10"/>
    </row>
    <row r="69" spans="2:111" x14ac:dyDescent="0.45">
      <c r="B69">
        <f t="shared" si="44"/>
        <v>61</v>
      </c>
      <c r="C69">
        <v>20</v>
      </c>
      <c r="D69">
        <f t="shared" si="45"/>
        <v>1220</v>
      </c>
      <c r="E69" s="19">
        <v>1219.1600000000001</v>
      </c>
      <c r="F69" s="23">
        <f t="shared" si="46"/>
        <v>20.065000000000055</v>
      </c>
      <c r="G69" s="6">
        <f t="shared" si="35"/>
        <v>-0.83999999999991815</v>
      </c>
      <c r="H69" s="12">
        <f t="shared" si="47"/>
        <v>6.500000000005457E-2</v>
      </c>
      <c r="J69" s="20">
        <f t="shared" si="91"/>
        <v>-3.999999999996362E-2</v>
      </c>
      <c r="K69" s="2"/>
      <c r="L69">
        <f t="shared" ref="L69" si="121">L68+1</f>
        <v>61</v>
      </c>
      <c r="M69">
        <v>20</v>
      </c>
      <c r="N69">
        <f t="shared" si="49"/>
        <v>1220</v>
      </c>
      <c r="O69" s="19">
        <v>1219.0150000000001</v>
      </c>
      <c r="P69" s="23">
        <f t="shared" si="50"/>
        <v>20.025000000000091</v>
      </c>
      <c r="Q69" s="6">
        <f t="shared" si="36"/>
        <v>-0.98499999999989996</v>
      </c>
      <c r="R69" s="27">
        <f t="shared" si="51"/>
        <v>2.5000000000090949E-2</v>
      </c>
      <c r="S69" s="19"/>
      <c r="T69" s="35"/>
      <c r="U69" s="19"/>
      <c r="V69" s="15">
        <f t="shared" si="52"/>
        <v>121</v>
      </c>
      <c r="W69" s="15">
        <f t="shared" si="53"/>
        <v>1220</v>
      </c>
      <c r="X69" s="19">
        <v>1219.1300000000001</v>
      </c>
      <c r="Y69" s="12">
        <f t="shared" si="54"/>
        <v>1218.5300000000002</v>
      </c>
      <c r="Z69" s="27">
        <f t="shared" si="55"/>
        <v>-1.4699999999997999</v>
      </c>
      <c r="AA69" s="30">
        <f t="shared" si="56"/>
        <v>122</v>
      </c>
      <c r="AB69" s="30">
        <v>0</v>
      </c>
      <c r="AC69" s="19">
        <v>0.78</v>
      </c>
      <c r="AD69" s="28">
        <f t="shared" si="37"/>
        <v>1218.3500000000001</v>
      </c>
      <c r="AE69" s="29">
        <f t="shared" si="38"/>
        <v>-1.6499999999998636</v>
      </c>
      <c r="AF69" s="19"/>
      <c r="AG69" s="20">
        <f t="shared" si="39"/>
        <v>8.9999999999918145E-2</v>
      </c>
      <c r="AI69" s="15">
        <f t="shared" si="57"/>
        <v>121</v>
      </c>
      <c r="AJ69" s="15">
        <f t="shared" si="58"/>
        <v>1220</v>
      </c>
      <c r="AK69" s="19">
        <v>1219.22</v>
      </c>
      <c r="AL69" s="12">
        <f t="shared" si="59"/>
        <v>1218.325</v>
      </c>
      <c r="AM69" s="27">
        <f t="shared" si="60"/>
        <v>-1.6749999999999545</v>
      </c>
      <c r="AN69" s="30">
        <f t="shared" si="61"/>
        <v>122</v>
      </c>
      <c r="AO69" s="30">
        <v>0</v>
      </c>
      <c r="AP69" s="19">
        <v>0.86499999999999999</v>
      </c>
      <c r="AQ69" s="28">
        <f t="shared" si="40"/>
        <v>1218.355</v>
      </c>
      <c r="AR69" s="29">
        <f t="shared" si="41"/>
        <v>-1.6449999999999818</v>
      </c>
      <c r="AT69" s="36"/>
      <c r="AU69" s="36"/>
      <c r="AW69">
        <f t="shared" si="1"/>
        <v>16</v>
      </c>
      <c r="AX69">
        <f t="shared" si="2"/>
        <v>-20</v>
      </c>
      <c r="AY69">
        <f t="shared" si="3"/>
        <v>1200</v>
      </c>
      <c r="AZ69" s="19">
        <v>-319.13499999999999</v>
      </c>
      <c r="BA69" s="2">
        <f t="shared" si="4"/>
        <v>1200.865</v>
      </c>
      <c r="BB69" s="23">
        <f t="shared" si="5"/>
        <v>-20.050000000000011</v>
      </c>
      <c r="BC69" s="6">
        <f t="shared" si="6"/>
        <v>-0.86500000000000909</v>
      </c>
      <c r="BD69" s="12">
        <f t="shared" si="7"/>
        <v>5.0000000000011369E-2</v>
      </c>
      <c r="BF69" s="20">
        <f t="shared" si="42"/>
        <v>3.5000000000025011E-2</v>
      </c>
      <c r="BH69">
        <f t="shared" si="8"/>
        <v>16</v>
      </c>
      <c r="BI69">
        <f t="shared" si="9"/>
        <v>-20</v>
      </c>
      <c r="BJ69">
        <f t="shared" si="10"/>
        <v>1200</v>
      </c>
      <c r="BK69" s="19">
        <v>-319.15499999999997</v>
      </c>
      <c r="BL69" s="2">
        <f t="shared" si="11"/>
        <v>1200.8449999999993</v>
      </c>
      <c r="BM69" s="23">
        <f t="shared" si="104"/>
        <v>-20.014999999999986</v>
      </c>
      <c r="BN69" s="6">
        <f t="shared" si="13"/>
        <v>-0.84499999999934516</v>
      </c>
      <c r="BO69" s="12">
        <f t="shared" si="14"/>
        <v>1.4999999999986358E-2</v>
      </c>
      <c r="BP69" s="10"/>
      <c r="BQ69" s="35"/>
      <c r="BR69" s="8"/>
      <c r="BS69" s="15">
        <f t="shared" si="15"/>
        <v>31</v>
      </c>
      <c r="BT69" s="15">
        <f t="shared" si="16"/>
        <v>1200</v>
      </c>
      <c r="BU69" s="19">
        <v>-319.15499999999997</v>
      </c>
      <c r="BV69" s="12">
        <f t="shared" si="17"/>
        <v>1201.2950000000001</v>
      </c>
      <c r="BW69" s="12">
        <f t="shared" si="18"/>
        <v>318.70499999999998</v>
      </c>
      <c r="BX69" s="12">
        <f t="shared" si="19"/>
        <v>-320</v>
      </c>
      <c r="BY69" s="27">
        <f t="shared" si="20"/>
        <v>-1.2950000000000728</v>
      </c>
      <c r="BZ69" s="30">
        <f t="shared" si="21"/>
        <v>32</v>
      </c>
      <c r="CA69" s="30">
        <v>0</v>
      </c>
      <c r="CB69">
        <v>-0.44</v>
      </c>
      <c r="CC69" s="40">
        <f t="shared" si="22"/>
        <v>318.71499999999997</v>
      </c>
      <c r="CD69" s="40">
        <f t="shared" si="23"/>
        <v>-1.285000000000025</v>
      </c>
      <c r="CE69" s="40">
        <f t="shared" si="24"/>
        <v>320</v>
      </c>
      <c r="CF69" s="6"/>
      <c r="CG69" s="20">
        <f t="shared" si="43"/>
        <v>-1.4999999999986358E-2</v>
      </c>
      <c r="CH69" s="10"/>
      <c r="CI69" s="15">
        <f t="shared" si="25"/>
        <v>31</v>
      </c>
      <c r="CJ69" s="15">
        <f t="shared" si="26"/>
        <v>1200</v>
      </c>
      <c r="CK69" s="19">
        <v>-319.14</v>
      </c>
      <c r="CL69" s="12">
        <f t="shared" si="27"/>
        <v>1201.2950000000001</v>
      </c>
      <c r="CM69" s="12">
        <f t="shared" si="28"/>
        <v>318.70499999999998</v>
      </c>
      <c r="CN69" s="12">
        <f t="shared" si="29"/>
        <v>-320</v>
      </c>
      <c r="CO69" s="27">
        <f t="shared" si="30"/>
        <v>-1.2950000000000728</v>
      </c>
      <c r="CP69" s="30">
        <f t="shared" si="31"/>
        <v>32</v>
      </c>
      <c r="CQ69" s="30">
        <v>0</v>
      </c>
      <c r="CR69">
        <v>-0.42</v>
      </c>
      <c r="CS69" s="40">
        <f t="shared" si="32"/>
        <v>318.71999999999997</v>
      </c>
      <c r="CT69" s="40">
        <f t="shared" si="33"/>
        <v>-1.2800000000000296</v>
      </c>
      <c r="CU69" s="40">
        <f t="shared" si="34"/>
        <v>320</v>
      </c>
      <c r="DB69" s="19"/>
      <c r="DC69" s="2"/>
      <c r="DD69" s="2"/>
      <c r="DE69" s="6"/>
      <c r="DF69" s="2"/>
      <c r="DG69" s="10"/>
    </row>
    <row r="70" spans="2:111" x14ac:dyDescent="0.45">
      <c r="B70">
        <f t="shared" si="44"/>
        <v>62</v>
      </c>
      <c r="C70">
        <v>20</v>
      </c>
      <c r="D70">
        <f t="shared" si="45"/>
        <v>1240</v>
      </c>
      <c r="E70" s="19">
        <v>1239.2249999999999</v>
      </c>
      <c r="F70" s="23">
        <f t="shared" si="46"/>
        <v>20.064999999999827</v>
      </c>
      <c r="G70" s="6">
        <f t="shared" si="35"/>
        <v>-0.77500000000009095</v>
      </c>
      <c r="H70" s="12">
        <f t="shared" si="47"/>
        <v>6.4999999999827196E-2</v>
      </c>
      <c r="J70" s="20">
        <f t="shared" si="91"/>
        <v>5.0000000001091394E-3</v>
      </c>
      <c r="K70" s="2"/>
      <c r="L70">
        <f t="shared" ref="L70" si="122">L69+1</f>
        <v>62</v>
      </c>
      <c r="M70">
        <v>20</v>
      </c>
      <c r="N70">
        <f t="shared" si="49"/>
        <v>1240</v>
      </c>
      <c r="O70" s="19">
        <v>1239.085</v>
      </c>
      <c r="P70" s="23">
        <f t="shared" si="50"/>
        <v>20.069999999999936</v>
      </c>
      <c r="Q70" s="6">
        <f t="shared" si="36"/>
        <v>-0.91499999999996362</v>
      </c>
      <c r="R70" s="27">
        <f t="shared" si="51"/>
        <v>6.9999999999936335E-2</v>
      </c>
      <c r="S70" s="19"/>
      <c r="T70" s="35"/>
      <c r="U70" s="19"/>
      <c r="V70" s="15">
        <f t="shared" si="52"/>
        <v>123</v>
      </c>
      <c r="W70" s="15">
        <f t="shared" si="53"/>
        <v>1240</v>
      </c>
      <c r="X70" s="19">
        <v>1239.1500000000001</v>
      </c>
      <c r="Y70" s="12">
        <f t="shared" si="54"/>
        <v>1238.3700000000001</v>
      </c>
      <c r="Z70" s="27">
        <f t="shared" si="55"/>
        <v>-1.6299999999998818</v>
      </c>
      <c r="AA70" s="30">
        <f t="shared" si="56"/>
        <v>124</v>
      </c>
      <c r="AB70" s="30">
        <v>0</v>
      </c>
      <c r="AC70" s="19">
        <v>0.85499999999999998</v>
      </c>
      <c r="AD70" s="28">
        <f t="shared" si="37"/>
        <v>1238.2950000000001</v>
      </c>
      <c r="AE70" s="29">
        <f t="shared" si="38"/>
        <v>-1.7049999999999272</v>
      </c>
      <c r="AF70" s="19"/>
      <c r="AG70" s="20">
        <f t="shared" si="39"/>
        <v>9.9999999999909051E-2</v>
      </c>
      <c r="AI70" s="15">
        <f t="shared" si="57"/>
        <v>123</v>
      </c>
      <c r="AJ70" s="15">
        <f t="shared" si="58"/>
        <v>1240</v>
      </c>
      <c r="AK70" s="19">
        <v>1239.25</v>
      </c>
      <c r="AL70" s="12">
        <f t="shared" si="59"/>
        <v>1238.385</v>
      </c>
      <c r="AM70" s="27">
        <f t="shared" si="60"/>
        <v>-1.6150000000000091</v>
      </c>
      <c r="AN70" s="30">
        <f t="shared" si="61"/>
        <v>124</v>
      </c>
      <c r="AO70" s="30">
        <v>0</v>
      </c>
      <c r="AP70" s="19">
        <v>0.86</v>
      </c>
      <c r="AQ70" s="28">
        <f t="shared" si="40"/>
        <v>1238.3900000000001</v>
      </c>
      <c r="AR70" s="29">
        <f t="shared" si="41"/>
        <v>-1.6099999999999</v>
      </c>
      <c r="AT70" s="36"/>
      <c r="AU70" s="36"/>
      <c r="AW70">
        <f t="shared" si="1"/>
        <v>15</v>
      </c>
      <c r="AX70">
        <f t="shared" si="2"/>
        <v>-20</v>
      </c>
      <c r="AY70">
        <f t="shared" si="3"/>
        <v>1220</v>
      </c>
      <c r="AZ70" s="19">
        <v>-299.08499999999998</v>
      </c>
      <c r="BA70" s="2">
        <f t="shared" si="4"/>
        <v>1220.915</v>
      </c>
      <c r="BB70" s="23">
        <f t="shared" si="5"/>
        <v>-19.995000000000005</v>
      </c>
      <c r="BC70" s="6">
        <f t="shared" si="6"/>
        <v>-0.91499999999996362</v>
      </c>
      <c r="BD70" s="12">
        <f t="shared" si="7"/>
        <v>-4.9999999999954525E-3</v>
      </c>
      <c r="BF70" s="20">
        <f t="shared" si="42"/>
        <v>4.9999999999954525E-3</v>
      </c>
      <c r="BH70">
        <f t="shared" si="8"/>
        <v>15</v>
      </c>
      <c r="BI70">
        <f t="shared" si="9"/>
        <v>-20</v>
      </c>
      <c r="BJ70">
        <f t="shared" si="10"/>
        <v>1220</v>
      </c>
      <c r="BK70" s="19">
        <v>-299.14</v>
      </c>
      <c r="BL70" s="2">
        <f t="shared" si="11"/>
        <v>1220.8599999999994</v>
      </c>
      <c r="BM70" s="23">
        <f t="shared" si="104"/>
        <v>-19.990000000000009</v>
      </c>
      <c r="BN70" s="6">
        <f t="shared" si="13"/>
        <v>-0.85999999999944521</v>
      </c>
      <c r="BO70" s="12">
        <f t="shared" si="14"/>
        <v>-9.9999999999909051E-3</v>
      </c>
      <c r="BP70" s="10"/>
      <c r="BQ70" s="35"/>
      <c r="BR70" s="8"/>
      <c r="BS70" s="15">
        <f t="shared" si="15"/>
        <v>29</v>
      </c>
      <c r="BT70" s="15">
        <f t="shared" si="16"/>
        <v>1220</v>
      </c>
      <c r="BU70" s="19">
        <v>-299.14</v>
      </c>
      <c r="BV70" s="12">
        <f t="shared" si="17"/>
        <v>1221.2950000000001</v>
      </c>
      <c r="BW70" s="12">
        <f t="shared" si="18"/>
        <v>298.70499999999998</v>
      </c>
      <c r="BX70" s="12">
        <f t="shared" si="19"/>
        <v>-300</v>
      </c>
      <c r="BY70" s="27">
        <f t="shared" si="20"/>
        <v>-1.2950000000000728</v>
      </c>
      <c r="BZ70" s="30">
        <f t="shared" si="21"/>
        <v>30</v>
      </c>
      <c r="CA70" s="30">
        <v>0</v>
      </c>
      <c r="CB70">
        <v>-0.45</v>
      </c>
      <c r="CC70" s="40">
        <f t="shared" si="22"/>
        <v>298.69</v>
      </c>
      <c r="CD70" s="40">
        <f t="shared" si="23"/>
        <v>-1.3100000000000023</v>
      </c>
      <c r="CE70" s="40">
        <f t="shared" si="24"/>
        <v>300</v>
      </c>
      <c r="CF70" s="6"/>
      <c r="CG70" s="20">
        <f t="shared" si="43"/>
        <v>0</v>
      </c>
      <c r="CH70" s="10"/>
      <c r="CI70" s="15">
        <f t="shared" si="25"/>
        <v>29</v>
      </c>
      <c r="CJ70" s="15">
        <f t="shared" si="26"/>
        <v>1220</v>
      </c>
      <c r="CK70" s="19">
        <v>-299.14</v>
      </c>
      <c r="CL70" s="12">
        <f t="shared" si="27"/>
        <v>1221.2850000000001</v>
      </c>
      <c r="CM70" s="12">
        <f t="shared" si="28"/>
        <v>298.71499999999997</v>
      </c>
      <c r="CN70" s="12">
        <f t="shared" si="29"/>
        <v>-300</v>
      </c>
      <c r="CO70" s="27">
        <f t="shared" si="30"/>
        <v>-1.2850000000000819</v>
      </c>
      <c r="CP70" s="30">
        <f t="shared" si="31"/>
        <v>30</v>
      </c>
      <c r="CQ70" s="30">
        <v>0</v>
      </c>
      <c r="CR70">
        <v>-0.435</v>
      </c>
      <c r="CS70" s="40">
        <f t="shared" si="32"/>
        <v>298.70499999999998</v>
      </c>
      <c r="CT70" s="40">
        <f t="shared" si="33"/>
        <v>-1.2950000000000159</v>
      </c>
      <c r="CU70" s="40">
        <f t="shared" si="34"/>
        <v>300</v>
      </c>
      <c r="DB70" s="19"/>
      <c r="DC70" s="2"/>
      <c r="DD70" s="2"/>
      <c r="DE70" s="6"/>
      <c r="DF70" s="2"/>
      <c r="DG70" s="10"/>
    </row>
    <row r="71" spans="2:111" x14ac:dyDescent="0.45">
      <c r="B71">
        <f t="shared" si="44"/>
        <v>63</v>
      </c>
      <c r="C71">
        <v>20</v>
      </c>
      <c r="D71">
        <f t="shared" si="45"/>
        <v>1260</v>
      </c>
      <c r="E71" s="19">
        <v>1259.2049999999999</v>
      </c>
      <c r="F71" s="23">
        <f t="shared" si="46"/>
        <v>19.980000000000018</v>
      </c>
      <c r="G71" s="6">
        <f t="shared" si="35"/>
        <v>-0.79500000000007276</v>
      </c>
      <c r="H71" s="12">
        <f t="shared" si="47"/>
        <v>-1.999999999998181E-2</v>
      </c>
      <c r="J71" s="20">
        <f t="shared" si="91"/>
        <v>2.9999999999972715E-2</v>
      </c>
      <c r="K71" s="2"/>
      <c r="L71">
        <f t="shared" ref="L71" si="123">L70+1</f>
        <v>63</v>
      </c>
      <c r="M71">
        <v>20</v>
      </c>
      <c r="N71">
        <f t="shared" si="49"/>
        <v>1260</v>
      </c>
      <c r="O71" s="19">
        <v>1259.095</v>
      </c>
      <c r="P71" s="23">
        <f t="shared" si="50"/>
        <v>20.009999999999991</v>
      </c>
      <c r="Q71" s="6">
        <f t="shared" si="36"/>
        <v>-0.90499999999997272</v>
      </c>
      <c r="R71" s="27">
        <f t="shared" si="51"/>
        <v>9.9999999999909051E-3</v>
      </c>
      <c r="S71" s="19"/>
      <c r="T71" s="35"/>
      <c r="U71" s="19"/>
      <c r="V71" s="15">
        <f t="shared" si="52"/>
        <v>125</v>
      </c>
      <c r="W71" s="15">
        <f t="shared" si="53"/>
        <v>1260</v>
      </c>
      <c r="X71" s="19">
        <v>1259.075</v>
      </c>
      <c r="Y71" s="12">
        <f t="shared" si="54"/>
        <v>1258.22</v>
      </c>
      <c r="Z71" s="27">
        <f t="shared" si="55"/>
        <v>-1.7799999999999727</v>
      </c>
      <c r="AA71" s="30">
        <f t="shared" si="56"/>
        <v>126</v>
      </c>
      <c r="AB71" s="30">
        <v>0</v>
      </c>
      <c r="AC71" s="19">
        <v>0.98</v>
      </c>
      <c r="AD71" s="28">
        <f t="shared" si="37"/>
        <v>1258.095</v>
      </c>
      <c r="AE71" s="29">
        <f t="shared" si="38"/>
        <v>-1.9049999999999727</v>
      </c>
      <c r="AF71" s="19"/>
      <c r="AG71" s="20">
        <f t="shared" si="39"/>
        <v>0.16999999999984539</v>
      </c>
      <c r="AI71" s="15">
        <f t="shared" si="57"/>
        <v>125</v>
      </c>
      <c r="AJ71" s="15">
        <f t="shared" si="58"/>
        <v>1260</v>
      </c>
      <c r="AK71" s="19">
        <v>1259.2449999999999</v>
      </c>
      <c r="AL71" s="12">
        <f t="shared" si="59"/>
        <v>1258.385</v>
      </c>
      <c r="AM71" s="27">
        <f t="shared" si="60"/>
        <v>-1.6150000000000091</v>
      </c>
      <c r="AN71" s="30">
        <f t="shared" si="61"/>
        <v>126</v>
      </c>
      <c r="AO71" s="30">
        <v>0</v>
      </c>
      <c r="AP71" s="19">
        <v>0.87</v>
      </c>
      <c r="AQ71" s="28">
        <f t="shared" si="40"/>
        <v>1258.375</v>
      </c>
      <c r="AR71" s="29">
        <f t="shared" si="41"/>
        <v>-1.625</v>
      </c>
      <c r="AT71" s="36"/>
      <c r="AU71" s="36"/>
      <c r="AW71">
        <f t="shared" si="1"/>
        <v>14</v>
      </c>
      <c r="AX71">
        <f t="shared" si="2"/>
        <v>-20</v>
      </c>
      <c r="AY71">
        <f t="shared" si="3"/>
        <v>1240</v>
      </c>
      <c r="AZ71" s="19">
        <v>-279.08999999999997</v>
      </c>
      <c r="BA71" s="2">
        <f t="shared" si="4"/>
        <v>1240.9100000000001</v>
      </c>
      <c r="BB71" s="23">
        <f t="shared" si="5"/>
        <v>-19.974999999999966</v>
      </c>
      <c r="BC71" s="6">
        <f t="shared" si="6"/>
        <v>-0.91000000000008185</v>
      </c>
      <c r="BD71" s="12">
        <f t="shared" si="7"/>
        <v>-2.5000000000034106E-2</v>
      </c>
      <c r="BF71" s="20">
        <f t="shared" si="42"/>
        <v>-4.0000000000020464E-2</v>
      </c>
      <c r="BH71">
        <f t="shared" si="8"/>
        <v>14</v>
      </c>
      <c r="BI71">
        <f t="shared" si="9"/>
        <v>-20</v>
      </c>
      <c r="BJ71">
        <f t="shared" si="10"/>
        <v>1240</v>
      </c>
      <c r="BK71" s="19">
        <v>-279.14999999999998</v>
      </c>
      <c r="BL71" s="2">
        <f t="shared" si="11"/>
        <v>1240.8499999999995</v>
      </c>
      <c r="BM71" s="23">
        <f t="shared" si="104"/>
        <v>-20.014999999999986</v>
      </c>
      <c r="BN71" s="6">
        <f t="shared" si="13"/>
        <v>-0.8499999999994543</v>
      </c>
      <c r="BO71" s="12">
        <f t="shared" si="14"/>
        <v>1.4999999999986358E-2</v>
      </c>
      <c r="BP71" s="10"/>
      <c r="BQ71" s="35"/>
      <c r="BR71" s="8"/>
      <c r="BS71" s="15">
        <f t="shared" si="15"/>
        <v>27</v>
      </c>
      <c r="BT71" s="15">
        <f t="shared" si="16"/>
        <v>1240</v>
      </c>
      <c r="BU71" s="19">
        <v>-279.14999999999998</v>
      </c>
      <c r="BV71" s="12">
        <f t="shared" si="17"/>
        <v>1241.3</v>
      </c>
      <c r="BW71" s="12">
        <f t="shared" si="18"/>
        <v>278.7</v>
      </c>
      <c r="BX71" s="12">
        <f t="shared" si="19"/>
        <v>-280</v>
      </c>
      <c r="BY71" s="27">
        <f t="shared" si="20"/>
        <v>-1.2999999999999545</v>
      </c>
      <c r="BZ71" s="30">
        <f t="shared" si="21"/>
        <v>28</v>
      </c>
      <c r="CA71" s="30">
        <v>0</v>
      </c>
      <c r="CB71">
        <v>-0.435</v>
      </c>
      <c r="CC71" s="40">
        <f t="shared" si="22"/>
        <v>278.71499999999997</v>
      </c>
      <c r="CD71" s="40">
        <f t="shared" si="23"/>
        <v>-1.285000000000025</v>
      </c>
      <c r="CE71" s="40">
        <f t="shared" si="24"/>
        <v>280</v>
      </c>
      <c r="CF71" s="6"/>
      <c r="CG71" s="20">
        <f t="shared" si="43"/>
        <v>-1.4999999999986358E-2</v>
      </c>
      <c r="CH71" s="10"/>
      <c r="CI71" s="15">
        <f t="shared" si="25"/>
        <v>27</v>
      </c>
      <c r="CJ71" s="15">
        <f t="shared" si="26"/>
        <v>1240</v>
      </c>
      <c r="CK71" s="19">
        <v>-279.13499999999999</v>
      </c>
      <c r="CL71" s="12">
        <f t="shared" si="27"/>
        <v>1241.31</v>
      </c>
      <c r="CM71" s="12">
        <f t="shared" si="28"/>
        <v>278.69</v>
      </c>
      <c r="CN71" s="12">
        <f t="shared" si="29"/>
        <v>-280</v>
      </c>
      <c r="CO71" s="27">
        <f t="shared" si="30"/>
        <v>-1.3099999999999454</v>
      </c>
      <c r="CP71" s="30">
        <f t="shared" si="31"/>
        <v>28</v>
      </c>
      <c r="CQ71" s="30">
        <v>0</v>
      </c>
      <c r="CR71">
        <v>-0.42499999999999999</v>
      </c>
      <c r="CS71" s="40">
        <f t="shared" si="32"/>
        <v>278.70999999999998</v>
      </c>
      <c r="CT71" s="40">
        <f t="shared" si="33"/>
        <v>-1.2900000000000205</v>
      </c>
      <c r="CU71" s="40">
        <f t="shared" si="34"/>
        <v>280</v>
      </c>
      <c r="DB71" s="19"/>
      <c r="DC71" s="2"/>
      <c r="DD71" s="2"/>
      <c r="DE71" s="6"/>
      <c r="DF71" s="2"/>
      <c r="DG71" s="10"/>
    </row>
    <row r="72" spans="2:111" x14ac:dyDescent="0.45">
      <c r="B72">
        <f t="shared" si="44"/>
        <v>64</v>
      </c>
      <c r="C72">
        <v>20</v>
      </c>
      <c r="D72">
        <f t="shared" si="45"/>
        <v>1280</v>
      </c>
      <c r="E72" s="19">
        <v>1279.0899999999999</v>
      </c>
      <c r="F72" s="23">
        <f t="shared" si="46"/>
        <v>19.884999999999991</v>
      </c>
      <c r="G72" s="6">
        <f t="shared" si="35"/>
        <v>-0.91000000000008185</v>
      </c>
      <c r="H72" s="12">
        <f t="shared" si="47"/>
        <v>-0.11500000000000909</v>
      </c>
      <c r="J72" s="20">
        <f t="shared" si="91"/>
        <v>5.5000000000063665E-2</v>
      </c>
      <c r="K72" s="2"/>
      <c r="L72">
        <f t="shared" ref="L72" si="124">L71+1</f>
        <v>64</v>
      </c>
      <c r="M72">
        <v>20</v>
      </c>
      <c r="N72">
        <f t="shared" si="49"/>
        <v>1280</v>
      </c>
      <c r="O72" s="19">
        <v>1279.0350000000001</v>
      </c>
      <c r="P72" s="23">
        <f t="shared" si="50"/>
        <v>19.940000000000055</v>
      </c>
      <c r="Q72" s="6">
        <f t="shared" si="36"/>
        <v>-0.96499999999991815</v>
      </c>
      <c r="R72" s="27">
        <f t="shared" si="51"/>
        <v>-5.999999999994543E-2</v>
      </c>
      <c r="S72" s="19"/>
      <c r="T72" s="35"/>
      <c r="U72" s="19"/>
      <c r="V72" s="15">
        <f t="shared" si="52"/>
        <v>127</v>
      </c>
      <c r="W72" s="15">
        <f t="shared" si="53"/>
        <v>1280</v>
      </c>
      <c r="X72" s="19">
        <v>1279.01</v>
      </c>
      <c r="Y72" s="12">
        <f t="shared" si="54"/>
        <v>1278.03</v>
      </c>
      <c r="Z72" s="27">
        <f t="shared" si="55"/>
        <v>-1.9700000000000273</v>
      </c>
      <c r="AA72" s="30">
        <f t="shared" si="56"/>
        <v>128</v>
      </c>
      <c r="AB72" s="30">
        <v>0</v>
      </c>
      <c r="AC72" s="19">
        <v>1</v>
      </c>
      <c r="AD72" s="28">
        <f t="shared" si="37"/>
        <v>1278.01</v>
      </c>
      <c r="AE72" s="29">
        <f t="shared" si="38"/>
        <v>-1.9900000000000091</v>
      </c>
      <c r="AF72" s="19"/>
      <c r="AG72" s="20">
        <f t="shared" si="39"/>
        <v>0.17499999999995453</v>
      </c>
      <c r="AI72" s="15">
        <f t="shared" si="57"/>
        <v>127</v>
      </c>
      <c r="AJ72" s="15">
        <f t="shared" si="58"/>
        <v>1280</v>
      </c>
      <c r="AK72" s="19">
        <v>1279.1849999999999</v>
      </c>
      <c r="AL72" s="12">
        <f t="shared" si="59"/>
        <v>1278.3150000000001</v>
      </c>
      <c r="AM72" s="27">
        <f t="shared" si="60"/>
        <v>-1.6849999999999454</v>
      </c>
      <c r="AN72" s="30">
        <f t="shared" si="61"/>
        <v>128</v>
      </c>
      <c r="AO72" s="30">
        <v>0</v>
      </c>
      <c r="AP72" s="19">
        <v>0.85</v>
      </c>
      <c r="AQ72" s="28">
        <f t="shared" si="40"/>
        <v>1278.335</v>
      </c>
      <c r="AR72" s="29">
        <f t="shared" si="41"/>
        <v>-1.6649999999999636</v>
      </c>
      <c r="AT72" s="36"/>
      <c r="AU72" s="36"/>
      <c r="AW72">
        <f t="shared" si="1"/>
        <v>13</v>
      </c>
      <c r="AX72">
        <f t="shared" si="2"/>
        <v>-20</v>
      </c>
      <c r="AY72">
        <f t="shared" si="3"/>
        <v>1260</v>
      </c>
      <c r="AZ72" s="19">
        <v>-259.11500000000001</v>
      </c>
      <c r="BA72" s="2">
        <f t="shared" si="4"/>
        <v>1260.885</v>
      </c>
      <c r="BB72" s="23">
        <f t="shared" si="5"/>
        <v>-19.955000000000013</v>
      </c>
      <c r="BC72" s="6">
        <f t="shared" si="6"/>
        <v>-0.88499999999999091</v>
      </c>
      <c r="BD72" s="12">
        <f t="shared" si="7"/>
        <v>-4.4999999999987494E-2</v>
      </c>
      <c r="BF72" s="20">
        <f t="shared" si="42"/>
        <v>1.5000000000014779E-2</v>
      </c>
      <c r="BH72">
        <f t="shared" si="8"/>
        <v>13</v>
      </c>
      <c r="BI72">
        <f t="shared" si="9"/>
        <v>-20</v>
      </c>
      <c r="BJ72">
        <f t="shared" si="10"/>
        <v>1260</v>
      </c>
      <c r="BK72" s="19">
        <v>-259.13499999999999</v>
      </c>
      <c r="BL72" s="2">
        <f t="shared" si="11"/>
        <v>1260.8649999999996</v>
      </c>
      <c r="BM72" s="23">
        <f t="shared" si="104"/>
        <v>-19.939999999999998</v>
      </c>
      <c r="BN72" s="6">
        <f t="shared" si="13"/>
        <v>-0.86499999999955435</v>
      </c>
      <c r="BO72" s="12">
        <f t="shared" si="14"/>
        <v>-6.0000000000002274E-2</v>
      </c>
      <c r="BP72" s="10"/>
      <c r="BQ72" s="35"/>
      <c r="BR72" s="8"/>
      <c r="BS72" s="15">
        <f t="shared" si="15"/>
        <v>25</v>
      </c>
      <c r="BT72" s="15">
        <f t="shared" si="16"/>
        <v>1260</v>
      </c>
      <c r="BU72" s="19">
        <v>-259.13499999999999</v>
      </c>
      <c r="BV72" s="12">
        <f t="shared" si="17"/>
        <v>1261.28</v>
      </c>
      <c r="BW72" s="12">
        <f t="shared" si="18"/>
        <v>258.71999999999997</v>
      </c>
      <c r="BX72" s="12">
        <f t="shared" si="19"/>
        <v>-260</v>
      </c>
      <c r="BY72" s="27">
        <f t="shared" si="20"/>
        <v>-1.2799999999999727</v>
      </c>
      <c r="BZ72" s="30">
        <f t="shared" si="21"/>
        <v>26</v>
      </c>
      <c r="CA72" s="30">
        <v>0</v>
      </c>
      <c r="CB72">
        <v>-0.45</v>
      </c>
      <c r="CC72" s="40">
        <f t="shared" si="22"/>
        <v>258.685</v>
      </c>
      <c r="CD72" s="40">
        <f t="shared" si="23"/>
        <v>-1.3149999999999977</v>
      </c>
      <c r="CE72" s="40">
        <f t="shared" si="24"/>
        <v>260</v>
      </c>
      <c r="CF72" s="6"/>
      <c r="CG72" s="20">
        <f t="shared" si="43"/>
        <v>1.4999999999986358E-2</v>
      </c>
      <c r="CH72" s="10"/>
      <c r="CI72" s="15">
        <f t="shared" si="25"/>
        <v>25</v>
      </c>
      <c r="CJ72" s="15">
        <f t="shared" si="26"/>
        <v>1260</v>
      </c>
      <c r="CK72" s="19">
        <v>-259.14999999999998</v>
      </c>
      <c r="CL72" s="12">
        <f t="shared" si="27"/>
        <v>1261.2650000000001</v>
      </c>
      <c r="CM72" s="12">
        <f t="shared" si="28"/>
        <v>258.73499999999996</v>
      </c>
      <c r="CN72" s="12">
        <f t="shared" si="29"/>
        <v>-260</v>
      </c>
      <c r="CO72" s="27">
        <f t="shared" si="30"/>
        <v>-1.2650000000001</v>
      </c>
      <c r="CP72" s="30">
        <f t="shared" si="31"/>
        <v>26</v>
      </c>
      <c r="CQ72" s="30">
        <v>0</v>
      </c>
      <c r="CR72">
        <v>-0.44500000000000001</v>
      </c>
      <c r="CS72" s="40">
        <f t="shared" si="32"/>
        <v>258.70499999999998</v>
      </c>
      <c r="CT72" s="40">
        <f t="shared" si="33"/>
        <v>-1.2950000000000159</v>
      </c>
      <c r="CU72" s="40">
        <f t="shared" si="34"/>
        <v>260</v>
      </c>
      <c r="DB72" s="19"/>
      <c r="DC72" s="2"/>
      <c r="DD72" s="2"/>
      <c r="DE72" s="6"/>
      <c r="DF72" s="2"/>
      <c r="DG72" s="10"/>
    </row>
    <row r="73" spans="2:111" x14ac:dyDescent="0.45">
      <c r="B73">
        <f t="shared" si="44"/>
        <v>65</v>
      </c>
      <c r="C73">
        <v>20</v>
      </c>
      <c r="D73">
        <f t="shared" si="45"/>
        <v>1300</v>
      </c>
      <c r="E73" s="19">
        <v>1298.845</v>
      </c>
      <c r="F73" s="23">
        <f t="shared" si="46"/>
        <v>19.755000000000109</v>
      </c>
      <c r="G73" s="6">
        <f t="shared" si="35"/>
        <v>-1.1549999999999727</v>
      </c>
      <c r="H73" s="12">
        <f t="shared" si="47"/>
        <v>-0.24499999999989086</v>
      </c>
      <c r="J73" s="20">
        <f t="shared" ref="J73:J84" si="125">R73-H73</f>
        <v>0.12999999999988177</v>
      </c>
      <c r="K73" s="2"/>
      <c r="L73">
        <f t="shared" ref="L73" si="126">L72+1</f>
        <v>65</v>
      </c>
      <c r="M73">
        <v>20</v>
      </c>
      <c r="N73">
        <f t="shared" si="49"/>
        <v>1300</v>
      </c>
      <c r="O73" s="19">
        <v>1298.92</v>
      </c>
      <c r="P73" s="23">
        <f t="shared" si="50"/>
        <v>19.884999999999991</v>
      </c>
      <c r="Q73" s="6">
        <f t="shared" si="36"/>
        <v>-1.0799999999999272</v>
      </c>
      <c r="R73" s="27">
        <f t="shared" si="51"/>
        <v>-0.11500000000000909</v>
      </c>
      <c r="S73" s="19"/>
      <c r="T73" s="35"/>
      <c r="U73" s="19"/>
      <c r="V73" s="15">
        <f t="shared" si="52"/>
        <v>129</v>
      </c>
      <c r="W73" s="15">
        <f t="shared" si="53"/>
        <v>1300</v>
      </c>
      <c r="X73" s="19">
        <v>1298.8599999999999</v>
      </c>
      <c r="Y73" s="12">
        <f t="shared" si="54"/>
        <v>1297.8599999999999</v>
      </c>
      <c r="Z73" s="27">
        <f t="shared" si="55"/>
        <v>-2.1400000000001</v>
      </c>
      <c r="AA73" s="30">
        <f t="shared" si="56"/>
        <v>130</v>
      </c>
      <c r="AB73" s="30">
        <v>0</v>
      </c>
      <c r="AC73" s="19">
        <v>1.02</v>
      </c>
      <c r="AD73" s="28">
        <f t="shared" si="37"/>
        <v>1297.8399999999999</v>
      </c>
      <c r="AE73" s="29">
        <f t="shared" si="38"/>
        <v>-2.1600000000000819</v>
      </c>
      <c r="AF73" s="19"/>
      <c r="AG73" s="20">
        <f t="shared" si="39"/>
        <v>0.17000000000007276</v>
      </c>
      <c r="AI73" s="15">
        <f t="shared" si="57"/>
        <v>129</v>
      </c>
      <c r="AJ73" s="15">
        <f t="shared" si="58"/>
        <v>1300</v>
      </c>
      <c r="AK73" s="19">
        <v>1299.03</v>
      </c>
      <c r="AL73" s="12">
        <f t="shared" si="59"/>
        <v>1298.18</v>
      </c>
      <c r="AM73" s="27">
        <f t="shared" si="60"/>
        <v>-1.8199999999999363</v>
      </c>
      <c r="AN73" s="30">
        <f t="shared" si="61"/>
        <v>130</v>
      </c>
      <c r="AO73" s="30">
        <v>0</v>
      </c>
      <c r="AP73" s="19">
        <v>0.87</v>
      </c>
      <c r="AQ73" s="28">
        <f t="shared" si="40"/>
        <v>1298.1600000000001</v>
      </c>
      <c r="AR73" s="29">
        <f t="shared" si="41"/>
        <v>-1.8399999999999181</v>
      </c>
      <c r="AT73" s="36"/>
      <c r="AU73" s="36"/>
      <c r="AW73">
        <f t="shared" ref="AW73:AW82" si="127">AW74+1</f>
        <v>12</v>
      </c>
      <c r="AX73">
        <f t="shared" ref="AX73:AX80" si="128">AX74</f>
        <v>-20</v>
      </c>
      <c r="AY73">
        <f t="shared" ref="AY73:AY82" si="129">AY74+AX73</f>
        <v>1280</v>
      </c>
      <c r="AZ73" s="19">
        <v>-239.16</v>
      </c>
      <c r="BA73" s="2">
        <f t="shared" ref="BA73:BA82" si="130">BA74+BB73</f>
        <v>1280.8399999999999</v>
      </c>
      <c r="BB73" s="23">
        <f t="shared" ref="BB73:BB82" si="131">AZ73-AZ74</f>
        <v>-19.85499999999999</v>
      </c>
      <c r="BC73" s="6">
        <f t="shared" ref="BC73:BC83" si="132">AY73-BA73</f>
        <v>-0.83999999999991815</v>
      </c>
      <c r="BD73" s="12">
        <f t="shared" ref="BD73:BD83" si="133">AX73-BB73</f>
        <v>-0.14500000000001023</v>
      </c>
      <c r="BF73" s="20">
        <f t="shared" si="42"/>
        <v>0</v>
      </c>
      <c r="BH73">
        <f t="shared" ref="BH73:BH82" si="134">BH74+1</f>
        <v>12</v>
      </c>
      <c r="BI73">
        <f t="shared" ref="BI73:BI80" si="135">BI74</f>
        <v>-20</v>
      </c>
      <c r="BJ73">
        <f t="shared" ref="BJ73:BJ82" si="136">BJ74+BI73</f>
        <v>1280</v>
      </c>
      <c r="BK73" s="19">
        <v>-239.19499999999999</v>
      </c>
      <c r="BL73" s="2">
        <f t="shared" ref="BL73:BL82" si="137">BL74+BM73</f>
        <v>1280.8049999999996</v>
      </c>
      <c r="BM73" s="23">
        <f t="shared" si="104"/>
        <v>-19.85499999999999</v>
      </c>
      <c r="BN73" s="6">
        <f t="shared" ref="BN73:BN83" si="138">BJ73-BL73</f>
        <v>-0.80499999999960892</v>
      </c>
      <c r="BO73" s="12">
        <f t="shared" ref="BO73:BO83" si="139">BI73-BM73</f>
        <v>-0.14500000000001023</v>
      </c>
      <c r="BP73" s="10"/>
      <c r="BQ73" s="35"/>
      <c r="BR73" s="8"/>
      <c r="BS73" s="15">
        <f t="shared" ref="BS73:BS81" si="140">BS74+2</f>
        <v>23</v>
      </c>
      <c r="BT73" s="15">
        <f t="shared" ref="BT73:BT82" si="141">BT74-20</f>
        <v>1280</v>
      </c>
      <c r="BU73" s="19">
        <v>-239.19499999999999</v>
      </c>
      <c r="BV73" s="12">
        <f t="shared" ref="BV73:BV82" si="142">1520-BW73</f>
        <v>1281.2550000000001</v>
      </c>
      <c r="BW73" s="12">
        <f t="shared" ref="BW73:BW82" si="143">CB74-BU73</f>
        <v>238.745</v>
      </c>
      <c r="BX73" s="12">
        <f t="shared" ref="BX73:BX82" si="144">BX74-20</f>
        <v>-240</v>
      </c>
      <c r="BY73" s="27">
        <f t="shared" ref="BY73:BY83" si="145">BT73-BV73</f>
        <v>-1.2550000000001091</v>
      </c>
      <c r="BZ73" s="30">
        <f t="shared" ref="BZ73:BZ82" si="146">BZ74+2</f>
        <v>24</v>
      </c>
      <c r="CA73" s="30">
        <v>0</v>
      </c>
      <c r="CB73">
        <v>-0.41499999999999998</v>
      </c>
      <c r="CC73" s="40">
        <f t="shared" ref="CC73:CC82" si="147">CB73-BU73</f>
        <v>238.78</v>
      </c>
      <c r="CD73" s="40">
        <f t="shared" ref="CD73:CD83" si="148">CC73-CE73</f>
        <v>-1.2199999999999989</v>
      </c>
      <c r="CE73" s="40">
        <f t="shared" ref="CE73:CE82" si="149">CE74+20</f>
        <v>240</v>
      </c>
      <c r="CF73" s="6"/>
      <c r="CG73" s="20">
        <f t="shared" si="43"/>
        <v>1.0000000000019327E-2</v>
      </c>
      <c r="CH73" s="10"/>
      <c r="CI73" s="15">
        <f t="shared" ref="CI73:CI81" si="150">CI74+2</f>
        <v>23</v>
      </c>
      <c r="CJ73" s="15">
        <f t="shared" ref="CJ73:CJ82" si="151">CJ74-20</f>
        <v>1280</v>
      </c>
      <c r="CK73" s="19">
        <v>-239.20500000000001</v>
      </c>
      <c r="CL73" s="12">
        <f t="shared" ref="CL73:CL82" si="152">1520-CM73</f>
        <v>1281.2449999999999</v>
      </c>
      <c r="CM73" s="12">
        <f t="shared" ref="CM73:CM82" si="153">CR74-CK73</f>
        <v>238.75500000000002</v>
      </c>
      <c r="CN73" s="12">
        <f t="shared" ref="CN73:CN82" si="154">CN74-20</f>
        <v>-240</v>
      </c>
      <c r="CO73" s="27">
        <f t="shared" ref="CO73:CO83" si="155">CJ73-CL73</f>
        <v>-1.2449999999998909</v>
      </c>
      <c r="CP73" s="30">
        <f t="shared" ref="CP73:CP82" si="156">CP74+2</f>
        <v>24</v>
      </c>
      <c r="CQ73" s="30">
        <v>0</v>
      </c>
      <c r="CR73">
        <v>-0.41499999999999998</v>
      </c>
      <c r="CS73" s="40">
        <f t="shared" ref="CS73:CS82" si="157">CR73-CK73</f>
        <v>238.79000000000002</v>
      </c>
      <c r="CT73" s="40">
        <f t="shared" ref="CT73:CT83" si="158">CS73-CU73</f>
        <v>-1.2099999999999795</v>
      </c>
      <c r="CU73" s="40">
        <f t="shared" ref="CU73:CU82" si="159">CU74+20</f>
        <v>240</v>
      </c>
      <c r="DB73" s="19"/>
      <c r="DC73" s="2"/>
      <c r="DD73" s="2"/>
      <c r="DE73" s="6"/>
      <c r="DF73" s="2"/>
      <c r="DG73" s="10"/>
    </row>
    <row r="74" spans="2:111" x14ac:dyDescent="0.45">
      <c r="B74">
        <f t="shared" si="44"/>
        <v>66</v>
      </c>
      <c r="C74">
        <v>20</v>
      </c>
      <c r="D74">
        <f t="shared" si="45"/>
        <v>1320</v>
      </c>
      <c r="E74" s="19">
        <v>1318.9649999999999</v>
      </c>
      <c r="F74" s="23">
        <f t="shared" si="46"/>
        <v>20.119999999999891</v>
      </c>
      <c r="G74" s="6">
        <f t="shared" ref="G74:G84" si="160">E74-D74</f>
        <v>-1.0350000000000819</v>
      </c>
      <c r="H74" s="12">
        <f t="shared" si="47"/>
        <v>0.11999999999989086</v>
      </c>
      <c r="J74" s="20">
        <f t="shared" si="125"/>
        <v>-0.24499999999989086</v>
      </c>
      <c r="K74" s="2"/>
      <c r="L74">
        <f t="shared" ref="L74" si="161">L73+1</f>
        <v>66</v>
      </c>
      <c r="M74">
        <v>20</v>
      </c>
      <c r="N74">
        <f t="shared" si="49"/>
        <v>1320</v>
      </c>
      <c r="O74" s="19">
        <v>1318.7950000000001</v>
      </c>
      <c r="P74" s="23">
        <f t="shared" si="50"/>
        <v>19.875</v>
      </c>
      <c r="Q74" s="6">
        <f t="shared" ref="Q74:Q84" si="162">O74-N74</f>
        <v>-1.2049999999999272</v>
      </c>
      <c r="R74" s="27">
        <f t="shared" si="51"/>
        <v>-0.125</v>
      </c>
      <c r="S74" s="19"/>
      <c r="T74" s="35"/>
      <c r="U74" s="19"/>
      <c r="V74" s="15">
        <f t="shared" si="52"/>
        <v>131</v>
      </c>
      <c r="W74" s="15">
        <f t="shared" si="53"/>
        <v>1320</v>
      </c>
      <c r="X74" s="19">
        <v>1318.77</v>
      </c>
      <c r="Y74" s="12">
        <f t="shared" si="54"/>
        <v>1317.75</v>
      </c>
      <c r="Z74" s="27">
        <f t="shared" si="55"/>
        <v>-2.25</v>
      </c>
      <c r="AA74" s="30">
        <f t="shared" si="56"/>
        <v>132</v>
      </c>
      <c r="AB74" s="30">
        <v>0</v>
      </c>
      <c r="AC74" s="19">
        <v>1.02</v>
      </c>
      <c r="AD74" s="28">
        <f t="shared" ref="AD74:AD84" si="163">X74-AC74</f>
        <v>1317.75</v>
      </c>
      <c r="AE74" s="29">
        <f t="shared" ref="AE74:AE84" si="164">AD74-W74</f>
        <v>-2.25</v>
      </c>
      <c r="AF74" s="19"/>
      <c r="AG74" s="20">
        <f t="shared" ref="AG74:AG84" si="165">AK74-X74</f>
        <v>0.18499999999994543</v>
      </c>
      <c r="AI74" s="15">
        <f t="shared" si="57"/>
        <v>131</v>
      </c>
      <c r="AJ74" s="15">
        <f t="shared" si="58"/>
        <v>1320</v>
      </c>
      <c r="AK74" s="19">
        <v>1318.9549999999999</v>
      </c>
      <c r="AL74" s="12">
        <f t="shared" si="59"/>
        <v>1318.085</v>
      </c>
      <c r="AM74" s="27">
        <f t="shared" si="60"/>
        <v>-1.9149999999999636</v>
      </c>
      <c r="AN74" s="30">
        <f t="shared" si="61"/>
        <v>132</v>
      </c>
      <c r="AO74" s="30">
        <v>0</v>
      </c>
      <c r="AP74" s="19">
        <v>0.88</v>
      </c>
      <c r="AQ74" s="28">
        <f t="shared" ref="AQ74:AQ84" si="166">AK74-AP74</f>
        <v>1318.0749999999998</v>
      </c>
      <c r="AR74" s="29">
        <f t="shared" ref="AR74:AR84" si="167">AQ74-AJ74</f>
        <v>-1.9250000000001819</v>
      </c>
      <c r="AT74" s="36"/>
      <c r="AU74" s="36"/>
      <c r="AW74">
        <f t="shared" si="127"/>
        <v>11</v>
      </c>
      <c r="AX74">
        <f t="shared" si="128"/>
        <v>-20</v>
      </c>
      <c r="AY74">
        <f t="shared" si="129"/>
        <v>1300</v>
      </c>
      <c r="AZ74" s="19">
        <v>-219.30500000000001</v>
      </c>
      <c r="BA74" s="2">
        <f t="shared" si="130"/>
        <v>1300.6949999999999</v>
      </c>
      <c r="BB74" s="23">
        <f t="shared" si="131"/>
        <v>-19.980000000000018</v>
      </c>
      <c r="BC74" s="6">
        <f t="shared" si="132"/>
        <v>-0.69499999999993634</v>
      </c>
      <c r="BD74" s="12">
        <f t="shared" si="133"/>
        <v>-1.999999999998181E-2</v>
      </c>
      <c r="BF74" s="20">
        <f t="shared" ref="BF74:BF84" si="168">BM74-BB74</f>
        <v>4.0000000000020464E-2</v>
      </c>
      <c r="BH74">
        <f t="shared" si="134"/>
        <v>11</v>
      </c>
      <c r="BI74">
        <f t="shared" si="135"/>
        <v>-20</v>
      </c>
      <c r="BJ74">
        <f t="shared" si="136"/>
        <v>1300</v>
      </c>
      <c r="BK74" s="19">
        <v>-219.34</v>
      </c>
      <c r="BL74" s="2">
        <f t="shared" si="137"/>
        <v>1300.6599999999996</v>
      </c>
      <c r="BM74" s="23">
        <f t="shared" si="104"/>
        <v>-19.939999999999998</v>
      </c>
      <c r="BN74" s="6">
        <f t="shared" si="138"/>
        <v>-0.65999999999962711</v>
      </c>
      <c r="BO74" s="12">
        <f t="shared" si="139"/>
        <v>-6.0000000000002274E-2</v>
      </c>
      <c r="BP74" s="10"/>
      <c r="BQ74" s="35"/>
      <c r="BR74" s="8"/>
      <c r="BS74" s="15">
        <f t="shared" si="140"/>
        <v>21</v>
      </c>
      <c r="BT74" s="15">
        <f t="shared" si="141"/>
        <v>1300</v>
      </c>
      <c r="BU74" s="19">
        <v>-219.34</v>
      </c>
      <c r="BV74" s="12">
        <f t="shared" si="142"/>
        <v>1301.075</v>
      </c>
      <c r="BW74" s="12">
        <f t="shared" si="143"/>
        <v>218.92500000000001</v>
      </c>
      <c r="BX74" s="12">
        <f t="shared" si="144"/>
        <v>-220</v>
      </c>
      <c r="BY74" s="27">
        <f t="shared" si="145"/>
        <v>-1.0750000000000455</v>
      </c>
      <c r="BZ74" s="30">
        <f t="shared" si="146"/>
        <v>22</v>
      </c>
      <c r="CA74" s="30">
        <v>0</v>
      </c>
      <c r="CB74">
        <v>-0.45</v>
      </c>
      <c r="CC74" s="40">
        <f t="shared" si="147"/>
        <v>218.89000000000001</v>
      </c>
      <c r="CD74" s="40">
        <f t="shared" si="148"/>
        <v>-1.1099999999999852</v>
      </c>
      <c r="CE74" s="40">
        <f t="shared" si="149"/>
        <v>220</v>
      </c>
      <c r="CF74" s="6"/>
      <c r="CG74" s="20">
        <f t="shared" ref="CG74:CG84" si="169">BU74-CK74</f>
        <v>-2.5000000000005684E-2</v>
      </c>
      <c r="CH74" s="10"/>
      <c r="CI74" s="15">
        <f t="shared" si="150"/>
        <v>21</v>
      </c>
      <c r="CJ74" s="15">
        <f t="shared" si="151"/>
        <v>1300</v>
      </c>
      <c r="CK74" s="19">
        <v>-219.315</v>
      </c>
      <c r="CL74" s="12">
        <f t="shared" si="152"/>
        <v>1301.1100000000001</v>
      </c>
      <c r="CM74" s="12">
        <f t="shared" si="153"/>
        <v>218.89</v>
      </c>
      <c r="CN74" s="12">
        <f t="shared" si="154"/>
        <v>-220</v>
      </c>
      <c r="CO74" s="27">
        <f t="shared" si="155"/>
        <v>-1.1100000000001273</v>
      </c>
      <c r="CP74" s="30">
        <f t="shared" si="156"/>
        <v>22</v>
      </c>
      <c r="CQ74" s="30">
        <v>0</v>
      </c>
      <c r="CR74">
        <v>-0.45</v>
      </c>
      <c r="CS74" s="40">
        <f t="shared" si="157"/>
        <v>218.86500000000001</v>
      </c>
      <c r="CT74" s="40">
        <f t="shared" si="158"/>
        <v>-1.1349999999999909</v>
      </c>
      <c r="CU74" s="40">
        <f t="shared" si="159"/>
        <v>220</v>
      </c>
      <c r="DB74" s="19"/>
      <c r="DC74" s="2"/>
      <c r="DD74" s="2"/>
      <c r="DE74" s="6"/>
      <c r="DF74" s="2"/>
      <c r="DG74" s="10"/>
    </row>
    <row r="75" spans="2:111" x14ac:dyDescent="0.45">
      <c r="B75">
        <f t="shared" ref="B75:B84" si="170">B74+1</f>
        <v>67</v>
      </c>
      <c r="C75">
        <v>20</v>
      </c>
      <c r="D75">
        <f t="shared" ref="D75:D84" si="171">D74+C75</f>
        <v>1340</v>
      </c>
      <c r="E75" s="19">
        <v>1338.875</v>
      </c>
      <c r="F75" s="23">
        <f t="shared" ref="F75:F84" si="172">E75-E74</f>
        <v>19.910000000000082</v>
      </c>
      <c r="G75" s="6">
        <f t="shared" si="160"/>
        <v>-1.125</v>
      </c>
      <c r="H75" s="12">
        <f t="shared" ref="H75:H84" si="173">(E75-E74)-C75</f>
        <v>-8.9999999999918145E-2</v>
      </c>
      <c r="J75" s="20">
        <f t="shared" si="125"/>
        <v>2.9999999999745341E-2</v>
      </c>
      <c r="K75" s="2"/>
      <c r="L75">
        <f t="shared" ref="L75" si="174">L74+1</f>
        <v>67</v>
      </c>
      <c r="M75">
        <v>20</v>
      </c>
      <c r="N75">
        <f t="shared" ref="N75:N84" si="175">N74+M75</f>
        <v>1340</v>
      </c>
      <c r="O75" s="19">
        <v>1338.7349999999999</v>
      </c>
      <c r="P75" s="23">
        <f t="shared" ref="P75:P84" si="176">O75-O74</f>
        <v>19.939999999999827</v>
      </c>
      <c r="Q75" s="6">
        <f t="shared" si="162"/>
        <v>-1.2650000000001</v>
      </c>
      <c r="R75" s="27">
        <f t="shared" ref="R75:R84" si="177">(O75-O74)-M75</f>
        <v>-6.0000000000172804E-2</v>
      </c>
      <c r="S75" s="19"/>
      <c r="T75" s="35"/>
      <c r="U75" s="19"/>
      <c r="V75" s="15">
        <f t="shared" ref="V75:V84" si="178">V74+2</f>
        <v>133</v>
      </c>
      <c r="W75" s="15">
        <f t="shared" ref="W75:W84" si="179">W74+20</f>
        <v>1340</v>
      </c>
      <c r="X75" s="19">
        <v>1338.7149999999999</v>
      </c>
      <c r="Y75" s="12">
        <f t="shared" ref="Y75:Y84" si="180">X75-AC74</f>
        <v>1337.6949999999999</v>
      </c>
      <c r="Z75" s="27">
        <f t="shared" ref="Z75:Z84" si="181">Y75-W75</f>
        <v>-2.3050000000000637</v>
      </c>
      <c r="AA75" s="30">
        <f t="shared" ref="AA75:AA84" si="182">AA74+2</f>
        <v>134</v>
      </c>
      <c r="AB75" s="30">
        <v>0</v>
      </c>
      <c r="AC75" s="19">
        <v>1</v>
      </c>
      <c r="AD75" s="28">
        <f t="shared" si="163"/>
        <v>1337.7149999999999</v>
      </c>
      <c r="AE75" s="29">
        <f t="shared" si="164"/>
        <v>-2.2850000000000819</v>
      </c>
      <c r="AF75" s="19"/>
      <c r="AG75" s="20">
        <f t="shared" si="165"/>
        <v>0.15499999999997272</v>
      </c>
      <c r="AI75" s="15">
        <f t="shared" ref="AI75:AI84" si="183">AI74+2</f>
        <v>133</v>
      </c>
      <c r="AJ75" s="15">
        <f t="shared" ref="AJ75:AJ84" si="184">AJ74+20</f>
        <v>1340</v>
      </c>
      <c r="AK75" s="19">
        <v>1338.87</v>
      </c>
      <c r="AL75" s="12">
        <f t="shared" ref="AL75:AL84" si="185">AK75-AP74</f>
        <v>1337.9899999999998</v>
      </c>
      <c r="AM75" s="27">
        <f t="shared" ref="AM75:AM84" si="186">AL75-AJ75</f>
        <v>-2.0100000000002183</v>
      </c>
      <c r="AN75" s="30">
        <f t="shared" ref="AN75:AN84" si="187">AN74+2</f>
        <v>134</v>
      </c>
      <c r="AO75" s="30">
        <v>0</v>
      </c>
      <c r="AP75" s="19">
        <v>0.87</v>
      </c>
      <c r="AQ75" s="28">
        <f t="shared" si="166"/>
        <v>1338</v>
      </c>
      <c r="AR75" s="29">
        <f t="shared" si="167"/>
        <v>-2</v>
      </c>
      <c r="AT75" s="36"/>
      <c r="AU75" s="36"/>
      <c r="AW75">
        <f t="shared" si="127"/>
        <v>10</v>
      </c>
      <c r="AX75">
        <f t="shared" si="128"/>
        <v>-20</v>
      </c>
      <c r="AY75">
        <f t="shared" si="129"/>
        <v>1320</v>
      </c>
      <c r="AZ75" s="19">
        <v>-199.32499999999999</v>
      </c>
      <c r="BA75" s="2">
        <f t="shared" si="130"/>
        <v>1320.675</v>
      </c>
      <c r="BB75" s="23">
        <f t="shared" si="131"/>
        <v>-19.97</v>
      </c>
      <c r="BC75" s="6">
        <f t="shared" si="132"/>
        <v>-0.67499999999995453</v>
      </c>
      <c r="BD75" s="12">
        <f t="shared" si="133"/>
        <v>-3.0000000000001137E-2</v>
      </c>
      <c r="BF75" s="20">
        <f t="shared" si="168"/>
        <v>-5.5000000000006821E-2</v>
      </c>
      <c r="BH75">
        <f t="shared" si="134"/>
        <v>10</v>
      </c>
      <c r="BI75">
        <f t="shared" si="135"/>
        <v>-20</v>
      </c>
      <c r="BJ75">
        <f t="shared" si="136"/>
        <v>1320</v>
      </c>
      <c r="BK75" s="19">
        <v>-199.4</v>
      </c>
      <c r="BL75" s="2">
        <f t="shared" si="137"/>
        <v>1320.5999999999997</v>
      </c>
      <c r="BM75" s="23">
        <f t="shared" si="104"/>
        <v>-20.025000000000006</v>
      </c>
      <c r="BN75" s="6">
        <f t="shared" si="138"/>
        <v>-0.59999999999968168</v>
      </c>
      <c r="BO75" s="12">
        <f t="shared" si="139"/>
        <v>2.5000000000005684E-2</v>
      </c>
      <c r="BP75" s="10"/>
      <c r="BQ75" s="35"/>
      <c r="BR75" s="8"/>
      <c r="BS75" s="15">
        <f t="shared" si="140"/>
        <v>19</v>
      </c>
      <c r="BT75" s="15">
        <f t="shared" si="141"/>
        <v>1320</v>
      </c>
      <c r="BU75" s="19">
        <v>-199.4</v>
      </c>
      <c r="BV75" s="12">
        <f t="shared" si="142"/>
        <v>1321.05</v>
      </c>
      <c r="BW75" s="12">
        <f t="shared" si="143"/>
        <v>198.95000000000002</v>
      </c>
      <c r="BX75" s="12">
        <f t="shared" si="144"/>
        <v>-200</v>
      </c>
      <c r="BY75" s="27">
        <f t="shared" si="145"/>
        <v>-1.0499999999999545</v>
      </c>
      <c r="BZ75" s="30">
        <f t="shared" si="146"/>
        <v>20</v>
      </c>
      <c r="CA75" s="30">
        <v>0</v>
      </c>
      <c r="CB75">
        <v>-0.41499999999999998</v>
      </c>
      <c r="CC75" s="40">
        <f t="shared" si="147"/>
        <v>198.98500000000001</v>
      </c>
      <c r="CD75" s="40">
        <f t="shared" si="148"/>
        <v>-1.0149999999999864</v>
      </c>
      <c r="CE75" s="40">
        <f t="shared" si="149"/>
        <v>200</v>
      </c>
      <c r="CF75" s="6"/>
      <c r="CG75" s="20">
        <f t="shared" si="169"/>
        <v>-3.4999999999996589E-2</v>
      </c>
      <c r="CH75" s="10"/>
      <c r="CI75" s="15">
        <f t="shared" si="150"/>
        <v>19</v>
      </c>
      <c r="CJ75" s="15">
        <f t="shared" si="151"/>
        <v>1320</v>
      </c>
      <c r="CK75" s="19">
        <v>-199.36500000000001</v>
      </c>
      <c r="CL75" s="12">
        <f t="shared" si="152"/>
        <v>1321.08</v>
      </c>
      <c r="CM75" s="12">
        <f t="shared" si="153"/>
        <v>198.92000000000002</v>
      </c>
      <c r="CN75" s="12">
        <f t="shared" si="154"/>
        <v>-200</v>
      </c>
      <c r="CO75" s="27">
        <f t="shared" si="155"/>
        <v>-1.0799999999999272</v>
      </c>
      <c r="CP75" s="30">
        <f t="shared" si="156"/>
        <v>20</v>
      </c>
      <c r="CQ75" s="30">
        <v>0</v>
      </c>
      <c r="CR75">
        <v>-0.42499999999999999</v>
      </c>
      <c r="CS75" s="40">
        <f t="shared" si="157"/>
        <v>198.94</v>
      </c>
      <c r="CT75" s="40">
        <f t="shared" si="158"/>
        <v>-1.0600000000000023</v>
      </c>
      <c r="CU75" s="40">
        <f t="shared" si="159"/>
        <v>200</v>
      </c>
      <c r="DB75" s="19"/>
      <c r="DC75" s="2"/>
      <c r="DD75" s="2"/>
      <c r="DE75" s="6"/>
      <c r="DF75" s="2"/>
      <c r="DG75" s="10"/>
    </row>
    <row r="76" spans="2:111" x14ac:dyDescent="0.45">
      <c r="B76">
        <f t="shared" si="170"/>
        <v>68</v>
      </c>
      <c r="C76">
        <v>20</v>
      </c>
      <c r="D76">
        <f t="shared" si="171"/>
        <v>1360</v>
      </c>
      <c r="E76" s="19">
        <v>1358.85</v>
      </c>
      <c r="F76" s="23">
        <f t="shared" si="172"/>
        <v>19.974999999999909</v>
      </c>
      <c r="G76" s="6">
        <f t="shared" si="160"/>
        <v>-1.1500000000000909</v>
      </c>
      <c r="H76" s="12">
        <f t="shared" si="173"/>
        <v>-2.5000000000090949E-2</v>
      </c>
      <c r="J76" s="20">
        <f t="shared" si="125"/>
        <v>-4.9999999998817657E-3</v>
      </c>
      <c r="K76" s="2"/>
      <c r="L76">
        <f t="shared" ref="L76" si="188">L75+1</f>
        <v>68</v>
      </c>
      <c r="M76">
        <v>20</v>
      </c>
      <c r="N76">
        <f t="shared" si="175"/>
        <v>1360</v>
      </c>
      <c r="O76" s="19">
        <v>1358.7049999999999</v>
      </c>
      <c r="P76" s="23">
        <f t="shared" si="176"/>
        <v>19.970000000000027</v>
      </c>
      <c r="Q76" s="6">
        <f t="shared" si="162"/>
        <v>-1.2950000000000728</v>
      </c>
      <c r="R76" s="27">
        <f t="shared" si="177"/>
        <v>-2.9999999999972715E-2</v>
      </c>
      <c r="S76" s="19"/>
      <c r="T76" s="35"/>
      <c r="U76" s="19"/>
      <c r="V76" s="15">
        <f t="shared" si="178"/>
        <v>135</v>
      </c>
      <c r="W76" s="15">
        <f t="shared" si="179"/>
        <v>1360</v>
      </c>
      <c r="X76" s="19">
        <v>1358.7</v>
      </c>
      <c r="Y76" s="12">
        <f t="shared" si="180"/>
        <v>1357.7</v>
      </c>
      <c r="Z76" s="27">
        <f t="shared" si="181"/>
        <v>-2.2999999999999545</v>
      </c>
      <c r="AA76" s="30">
        <f t="shared" si="182"/>
        <v>136</v>
      </c>
      <c r="AB76" s="30">
        <v>0</v>
      </c>
      <c r="AC76" s="19">
        <v>1.02</v>
      </c>
      <c r="AD76" s="28">
        <f t="shared" si="163"/>
        <v>1357.68</v>
      </c>
      <c r="AE76" s="29">
        <f t="shared" si="164"/>
        <v>-2.3199999999999363</v>
      </c>
      <c r="AF76" s="19"/>
      <c r="AG76" s="20">
        <f t="shared" si="165"/>
        <v>0.19499999999993634</v>
      </c>
      <c r="AI76" s="15">
        <f t="shared" si="183"/>
        <v>135</v>
      </c>
      <c r="AJ76" s="15">
        <f t="shared" si="184"/>
        <v>1360</v>
      </c>
      <c r="AK76" s="19">
        <v>1358.895</v>
      </c>
      <c r="AL76" s="12">
        <f t="shared" si="185"/>
        <v>1358.0250000000001</v>
      </c>
      <c r="AM76" s="27">
        <f t="shared" si="186"/>
        <v>-1.9749999999999091</v>
      </c>
      <c r="AN76" s="30">
        <f t="shared" si="187"/>
        <v>136</v>
      </c>
      <c r="AO76" s="30">
        <v>0</v>
      </c>
      <c r="AP76" s="19">
        <v>0.86</v>
      </c>
      <c r="AQ76" s="28">
        <f t="shared" si="166"/>
        <v>1358.0350000000001</v>
      </c>
      <c r="AR76" s="29">
        <f t="shared" si="167"/>
        <v>-1.9649999999999181</v>
      </c>
      <c r="AT76" s="36"/>
      <c r="AU76" s="36"/>
      <c r="AW76">
        <f t="shared" si="127"/>
        <v>9</v>
      </c>
      <c r="AX76">
        <f t="shared" si="128"/>
        <v>-20</v>
      </c>
      <c r="AY76">
        <f t="shared" si="129"/>
        <v>1340</v>
      </c>
      <c r="AZ76" s="19">
        <v>-179.35499999999999</v>
      </c>
      <c r="BA76" s="2">
        <f t="shared" si="130"/>
        <v>1340.645</v>
      </c>
      <c r="BB76" s="23">
        <f t="shared" si="131"/>
        <v>-19.974999999999994</v>
      </c>
      <c r="BC76" s="6">
        <f t="shared" si="132"/>
        <v>-0.64499999999998181</v>
      </c>
      <c r="BD76" s="12">
        <f t="shared" si="133"/>
        <v>-2.5000000000005684E-2</v>
      </c>
      <c r="BF76" s="20">
        <f t="shared" si="168"/>
        <v>-4.9999999999954525E-3</v>
      </c>
      <c r="BH76">
        <f t="shared" si="134"/>
        <v>9</v>
      </c>
      <c r="BI76">
        <f t="shared" si="135"/>
        <v>-20</v>
      </c>
      <c r="BJ76">
        <f t="shared" si="136"/>
        <v>1340</v>
      </c>
      <c r="BK76" s="19">
        <v>-179.375</v>
      </c>
      <c r="BL76" s="2">
        <f t="shared" si="137"/>
        <v>1340.6249999999998</v>
      </c>
      <c r="BM76" s="23">
        <f t="shared" si="104"/>
        <v>-19.97999999999999</v>
      </c>
      <c r="BN76" s="6">
        <f t="shared" si="138"/>
        <v>-0.62499999999977263</v>
      </c>
      <c r="BO76" s="12">
        <f t="shared" si="139"/>
        <v>-2.0000000000010232E-2</v>
      </c>
      <c r="BP76" s="10"/>
      <c r="BQ76" s="35"/>
      <c r="BR76" s="8"/>
      <c r="BS76" s="15">
        <f t="shared" si="140"/>
        <v>17</v>
      </c>
      <c r="BT76" s="15">
        <f t="shared" si="141"/>
        <v>1340</v>
      </c>
      <c r="BU76" s="19">
        <v>-179.375</v>
      </c>
      <c r="BV76" s="12">
        <f t="shared" si="142"/>
        <v>1341.0550000000001</v>
      </c>
      <c r="BW76" s="12">
        <f t="shared" si="143"/>
        <v>178.94499999999999</v>
      </c>
      <c r="BX76" s="12">
        <f t="shared" si="144"/>
        <v>-180</v>
      </c>
      <c r="BY76" s="27">
        <f t="shared" si="145"/>
        <v>-1.0550000000000637</v>
      </c>
      <c r="BZ76" s="30">
        <f t="shared" si="146"/>
        <v>18</v>
      </c>
      <c r="CA76" s="30">
        <v>0</v>
      </c>
      <c r="CB76">
        <v>-0.45</v>
      </c>
      <c r="CC76" s="40">
        <f t="shared" si="147"/>
        <v>178.92500000000001</v>
      </c>
      <c r="CD76" s="40">
        <f t="shared" si="148"/>
        <v>-1.0749999999999886</v>
      </c>
      <c r="CE76" s="40">
        <f t="shared" si="149"/>
        <v>180</v>
      </c>
      <c r="CF76" s="6"/>
      <c r="CG76" s="20">
        <f t="shared" si="169"/>
        <v>-9.9999999999909051E-3</v>
      </c>
      <c r="CH76" s="10"/>
      <c r="CI76" s="15">
        <f t="shared" si="150"/>
        <v>17</v>
      </c>
      <c r="CJ76" s="15">
        <f t="shared" si="151"/>
        <v>1340</v>
      </c>
      <c r="CK76" s="19">
        <v>-179.36500000000001</v>
      </c>
      <c r="CL76" s="12">
        <f t="shared" si="152"/>
        <v>1341.0650000000001</v>
      </c>
      <c r="CM76" s="12">
        <f t="shared" si="153"/>
        <v>178.935</v>
      </c>
      <c r="CN76" s="12">
        <f t="shared" si="154"/>
        <v>-180</v>
      </c>
      <c r="CO76" s="27">
        <f t="shared" si="155"/>
        <v>-1.0650000000000546</v>
      </c>
      <c r="CP76" s="30">
        <f t="shared" si="156"/>
        <v>18</v>
      </c>
      <c r="CQ76" s="30">
        <v>0</v>
      </c>
      <c r="CR76">
        <v>-0.44500000000000001</v>
      </c>
      <c r="CS76" s="40">
        <f t="shared" si="157"/>
        <v>178.92000000000002</v>
      </c>
      <c r="CT76" s="40">
        <f t="shared" si="158"/>
        <v>-1.0799999999999841</v>
      </c>
      <c r="CU76" s="40">
        <f t="shared" si="159"/>
        <v>180</v>
      </c>
      <c r="DB76" s="19"/>
      <c r="DC76" s="2"/>
      <c r="DD76" s="2"/>
      <c r="DE76" s="6"/>
      <c r="DF76" s="2"/>
      <c r="DG76" s="10"/>
    </row>
    <row r="77" spans="2:111" x14ac:dyDescent="0.45">
      <c r="B77">
        <f t="shared" si="170"/>
        <v>69</v>
      </c>
      <c r="C77">
        <v>20</v>
      </c>
      <c r="D77">
        <f t="shared" si="171"/>
        <v>1380</v>
      </c>
      <c r="E77" s="19">
        <v>1378.875</v>
      </c>
      <c r="F77" s="23">
        <f t="shared" si="172"/>
        <v>20.025000000000091</v>
      </c>
      <c r="G77" s="6">
        <f t="shared" si="160"/>
        <v>-1.125</v>
      </c>
      <c r="H77" s="12">
        <f t="shared" si="173"/>
        <v>2.5000000000090949E-2</v>
      </c>
      <c r="J77" s="20">
        <f t="shared" si="125"/>
        <v>0</v>
      </c>
      <c r="K77" s="2"/>
      <c r="L77">
        <f t="shared" ref="L77" si="189">L76+1</f>
        <v>69</v>
      </c>
      <c r="M77">
        <v>20</v>
      </c>
      <c r="N77">
        <f t="shared" si="175"/>
        <v>1380</v>
      </c>
      <c r="O77" s="19">
        <v>1378.73</v>
      </c>
      <c r="P77" s="23">
        <f t="shared" si="176"/>
        <v>20.025000000000091</v>
      </c>
      <c r="Q77" s="6">
        <f t="shared" si="162"/>
        <v>-1.2699999999999818</v>
      </c>
      <c r="R77" s="27">
        <f t="shared" si="177"/>
        <v>2.5000000000090949E-2</v>
      </c>
      <c r="S77" s="19"/>
      <c r="T77" s="35"/>
      <c r="U77" s="19"/>
      <c r="V77" s="15">
        <f t="shared" si="178"/>
        <v>137</v>
      </c>
      <c r="W77" s="15">
        <f t="shared" si="179"/>
        <v>1380</v>
      </c>
      <c r="X77" s="19">
        <v>1378.74</v>
      </c>
      <c r="Y77" s="12">
        <f t="shared" si="180"/>
        <v>1377.72</v>
      </c>
      <c r="Z77" s="27">
        <f t="shared" si="181"/>
        <v>-2.2799999999999727</v>
      </c>
      <c r="AA77" s="30">
        <f t="shared" si="182"/>
        <v>138</v>
      </c>
      <c r="AB77" s="30">
        <v>0</v>
      </c>
      <c r="AC77" s="19">
        <v>1.0049999999999999</v>
      </c>
      <c r="AD77" s="28">
        <f t="shared" si="163"/>
        <v>1377.7349999999999</v>
      </c>
      <c r="AE77" s="29">
        <f t="shared" si="164"/>
        <v>-2.2650000000001</v>
      </c>
      <c r="AF77" s="19"/>
      <c r="AG77" s="20">
        <f t="shared" si="165"/>
        <v>0.16000000000008185</v>
      </c>
      <c r="AI77" s="15">
        <f t="shared" si="183"/>
        <v>137</v>
      </c>
      <c r="AJ77" s="15">
        <f t="shared" si="184"/>
        <v>1380</v>
      </c>
      <c r="AK77" s="19">
        <v>1378.9</v>
      </c>
      <c r="AL77" s="12">
        <f t="shared" si="185"/>
        <v>1378.0400000000002</v>
      </c>
      <c r="AM77" s="27">
        <f t="shared" si="186"/>
        <v>-1.959999999999809</v>
      </c>
      <c r="AN77" s="30">
        <f t="shared" si="187"/>
        <v>138</v>
      </c>
      <c r="AO77" s="30">
        <v>0</v>
      </c>
      <c r="AP77" s="19">
        <v>0.85499999999999998</v>
      </c>
      <c r="AQ77" s="28">
        <f t="shared" si="166"/>
        <v>1378.0450000000001</v>
      </c>
      <c r="AR77" s="29">
        <f t="shared" si="167"/>
        <v>-1.9549999999999272</v>
      </c>
      <c r="AT77" s="36"/>
      <c r="AU77" s="36"/>
      <c r="AW77">
        <f t="shared" si="127"/>
        <v>8</v>
      </c>
      <c r="AX77">
        <f t="shared" si="128"/>
        <v>-20</v>
      </c>
      <c r="AY77">
        <f t="shared" si="129"/>
        <v>1360</v>
      </c>
      <c r="AZ77" s="19">
        <v>-159.38</v>
      </c>
      <c r="BA77" s="2">
        <f t="shared" si="130"/>
        <v>1360.62</v>
      </c>
      <c r="BB77" s="23">
        <f t="shared" si="131"/>
        <v>-19.984999999999985</v>
      </c>
      <c r="BC77" s="6">
        <f t="shared" si="132"/>
        <v>-0.61999999999989086</v>
      </c>
      <c r="BD77" s="12">
        <f t="shared" si="133"/>
        <v>-1.5000000000014779E-2</v>
      </c>
      <c r="BF77" s="20">
        <f t="shared" si="168"/>
        <v>4.9999999999670308E-3</v>
      </c>
      <c r="BH77">
        <f t="shared" si="134"/>
        <v>8</v>
      </c>
      <c r="BI77">
        <f t="shared" si="135"/>
        <v>-20</v>
      </c>
      <c r="BJ77">
        <f t="shared" si="136"/>
        <v>1360</v>
      </c>
      <c r="BK77" s="19">
        <v>-159.39500000000001</v>
      </c>
      <c r="BL77" s="2">
        <f t="shared" si="137"/>
        <v>1360.6049999999998</v>
      </c>
      <c r="BM77" s="23">
        <f t="shared" si="104"/>
        <v>-19.980000000000018</v>
      </c>
      <c r="BN77" s="6">
        <f t="shared" si="138"/>
        <v>-0.60499999999979082</v>
      </c>
      <c r="BO77" s="12">
        <f t="shared" si="139"/>
        <v>-1.999999999998181E-2</v>
      </c>
      <c r="BP77" s="10"/>
      <c r="BQ77" s="35"/>
      <c r="BR77" s="8"/>
      <c r="BS77" s="15">
        <f t="shared" si="140"/>
        <v>15</v>
      </c>
      <c r="BT77" s="15">
        <f t="shared" si="141"/>
        <v>1360</v>
      </c>
      <c r="BU77" s="19">
        <v>-159.39500000000001</v>
      </c>
      <c r="BV77" s="12">
        <f t="shared" si="142"/>
        <v>1361.0350000000001</v>
      </c>
      <c r="BW77" s="12">
        <f t="shared" si="143"/>
        <v>158.965</v>
      </c>
      <c r="BX77" s="12">
        <f t="shared" si="144"/>
        <v>-160</v>
      </c>
      <c r="BY77" s="27">
        <f t="shared" si="145"/>
        <v>-1.0350000000000819</v>
      </c>
      <c r="BZ77" s="30">
        <f t="shared" si="146"/>
        <v>16</v>
      </c>
      <c r="CA77" s="30">
        <v>0</v>
      </c>
      <c r="CB77">
        <v>-0.43</v>
      </c>
      <c r="CC77" s="40">
        <f t="shared" si="147"/>
        <v>158.965</v>
      </c>
      <c r="CD77" s="40">
        <f t="shared" si="148"/>
        <v>-1.0349999999999966</v>
      </c>
      <c r="CE77" s="40">
        <f t="shared" si="149"/>
        <v>160</v>
      </c>
      <c r="CF77" s="6"/>
      <c r="CG77" s="20">
        <f t="shared" si="169"/>
        <v>0</v>
      </c>
      <c r="CH77" s="10"/>
      <c r="CI77" s="15">
        <f t="shared" si="150"/>
        <v>15</v>
      </c>
      <c r="CJ77" s="15">
        <f t="shared" si="151"/>
        <v>1360</v>
      </c>
      <c r="CK77" s="19">
        <v>-159.39500000000001</v>
      </c>
      <c r="CL77" s="12">
        <f t="shared" si="152"/>
        <v>1361.0350000000001</v>
      </c>
      <c r="CM77" s="12">
        <f t="shared" si="153"/>
        <v>158.965</v>
      </c>
      <c r="CN77" s="12">
        <f t="shared" si="154"/>
        <v>-160</v>
      </c>
      <c r="CO77" s="27">
        <f t="shared" si="155"/>
        <v>-1.0350000000000819</v>
      </c>
      <c r="CP77" s="30">
        <f t="shared" si="156"/>
        <v>16</v>
      </c>
      <c r="CQ77" s="30">
        <v>0</v>
      </c>
      <c r="CR77">
        <v>-0.43</v>
      </c>
      <c r="CS77" s="40">
        <f t="shared" si="157"/>
        <v>158.965</v>
      </c>
      <c r="CT77" s="40">
        <f t="shared" si="158"/>
        <v>-1.0349999999999966</v>
      </c>
      <c r="CU77" s="40">
        <f t="shared" si="159"/>
        <v>160</v>
      </c>
      <c r="DB77" s="19"/>
      <c r="DC77" s="2"/>
      <c r="DD77" s="2"/>
      <c r="DE77" s="6"/>
      <c r="DF77" s="2"/>
      <c r="DG77" s="10"/>
    </row>
    <row r="78" spans="2:111" x14ac:dyDescent="0.45">
      <c r="B78">
        <f t="shared" si="170"/>
        <v>70</v>
      </c>
      <c r="C78">
        <v>20</v>
      </c>
      <c r="D78">
        <f t="shared" si="171"/>
        <v>1400</v>
      </c>
      <c r="E78" s="19">
        <v>1398.89</v>
      </c>
      <c r="F78" s="23">
        <f t="shared" si="172"/>
        <v>20.0150000000001</v>
      </c>
      <c r="G78" s="6">
        <f t="shared" si="160"/>
        <v>-1.1099999999999</v>
      </c>
      <c r="H78" s="12">
        <f t="shared" si="173"/>
        <v>1.5000000000100044E-2</v>
      </c>
      <c r="J78" s="20">
        <f t="shared" si="125"/>
        <v>-1.5000000000100044E-2</v>
      </c>
      <c r="K78" s="2"/>
      <c r="L78">
        <f t="shared" ref="L78" si="190">L77+1</f>
        <v>70</v>
      </c>
      <c r="M78">
        <v>20</v>
      </c>
      <c r="N78">
        <f t="shared" si="175"/>
        <v>1400</v>
      </c>
      <c r="O78" s="19">
        <v>1398.73</v>
      </c>
      <c r="P78" s="23">
        <f t="shared" si="176"/>
        <v>20</v>
      </c>
      <c r="Q78" s="6">
        <f t="shared" si="162"/>
        <v>-1.2699999999999818</v>
      </c>
      <c r="R78" s="27">
        <f t="shared" si="177"/>
        <v>0</v>
      </c>
      <c r="S78" s="19"/>
      <c r="T78" s="35"/>
      <c r="U78" s="19"/>
      <c r="V78" s="15">
        <f t="shared" si="178"/>
        <v>139</v>
      </c>
      <c r="W78" s="15">
        <f t="shared" si="179"/>
        <v>1400</v>
      </c>
      <c r="X78" s="19">
        <v>1398.71</v>
      </c>
      <c r="Y78" s="12">
        <f t="shared" si="180"/>
        <v>1397.7049999999999</v>
      </c>
      <c r="Z78" s="27">
        <f t="shared" si="181"/>
        <v>-2.2950000000000728</v>
      </c>
      <c r="AA78" s="30">
        <f t="shared" si="182"/>
        <v>140</v>
      </c>
      <c r="AB78" s="30">
        <v>0</v>
      </c>
      <c r="AC78" s="19">
        <v>0.76500000000000001</v>
      </c>
      <c r="AD78" s="28">
        <f t="shared" si="163"/>
        <v>1397.9449999999999</v>
      </c>
      <c r="AE78" s="29">
        <f t="shared" si="164"/>
        <v>-2.0550000000000637</v>
      </c>
      <c r="AF78" s="19"/>
      <c r="AG78" s="20">
        <f t="shared" si="165"/>
        <v>0.18499999999994543</v>
      </c>
      <c r="AI78" s="15">
        <f t="shared" si="183"/>
        <v>139</v>
      </c>
      <c r="AJ78" s="15">
        <f t="shared" si="184"/>
        <v>1400</v>
      </c>
      <c r="AK78" s="19">
        <v>1398.895</v>
      </c>
      <c r="AL78" s="12">
        <f t="shared" si="185"/>
        <v>1398.04</v>
      </c>
      <c r="AM78" s="27">
        <f t="shared" si="186"/>
        <v>-1.9600000000000364</v>
      </c>
      <c r="AN78" s="30">
        <f t="shared" si="187"/>
        <v>140</v>
      </c>
      <c r="AO78" s="30">
        <v>0</v>
      </c>
      <c r="AP78" s="19">
        <v>0.87</v>
      </c>
      <c r="AQ78" s="28">
        <f t="shared" si="166"/>
        <v>1398.0250000000001</v>
      </c>
      <c r="AR78" s="29">
        <f t="shared" si="167"/>
        <v>-1.9749999999999091</v>
      </c>
      <c r="AT78" s="36"/>
      <c r="AU78" s="36"/>
      <c r="AW78">
        <f t="shared" si="127"/>
        <v>7</v>
      </c>
      <c r="AX78">
        <f t="shared" si="128"/>
        <v>-20</v>
      </c>
      <c r="AY78">
        <f t="shared" si="129"/>
        <v>1380</v>
      </c>
      <c r="AZ78" s="19">
        <v>-139.39500000000001</v>
      </c>
      <c r="BA78" s="2">
        <f t="shared" si="130"/>
        <v>1380.6049999999998</v>
      </c>
      <c r="BB78" s="23">
        <f t="shared" si="131"/>
        <v>-20.02000000000001</v>
      </c>
      <c r="BC78" s="6">
        <f t="shared" si="132"/>
        <v>-0.60499999999979082</v>
      </c>
      <c r="BD78" s="12">
        <f t="shared" si="133"/>
        <v>2.0000000000010232E-2</v>
      </c>
      <c r="BF78" s="20">
        <f t="shared" si="168"/>
        <v>1.0000000000019327E-2</v>
      </c>
      <c r="BH78">
        <f t="shared" si="134"/>
        <v>7</v>
      </c>
      <c r="BI78">
        <f t="shared" si="135"/>
        <v>-20</v>
      </c>
      <c r="BJ78">
        <f t="shared" si="136"/>
        <v>1380</v>
      </c>
      <c r="BK78" s="19">
        <v>-139.41499999999999</v>
      </c>
      <c r="BL78" s="2">
        <f t="shared" si="137"/>
        <v>1380.5849999999998</v>
      </c>
      <c r="BM78" s="23">
        <f t="shared" si="104"/>
        <v>-20.009999999999991</v>
      </c>
      <c r="BN78" s="6">
        <f t="shared" si="138"/>
        <v>-0.58499999999980901</v>
      </c>
      <c r="BO78" s="12">
        <f t="shared" si="139"/>
        <v>9.9999999999909051E-3</v>
      </c>
      <c r="BP78" s="10"/>
      <c r="BQ78" s="35"/>
      <c r="BR78" s="8"/>
      <c r="BS78" s="15">
        <f t="shared" si="140"/>
        <v>13</v>
      </c>
      <c r="BT78" s="15">
        <f t="shared" si="141"/>
        <v>1380</v>
      </c>
      <c r="BU78" s="19">
        <v>-139.41499999999999</v>
      </c>
      <c r="BV78" s="12">
        <f t="shared" si="142"/>
        <v>1381.0250000000001</v>
      </c>
      <c r="BW78" s="12">
        <f t="shared" si="143"/>
        <v>138.97499999999999</v>
      </c>
      <c r="BX78" s="12">
        <f t="shared" si="144"/>
        <v>-140</v>
      </c>
      <c r="BY78" s="27">
        <f t="shared" si="145"/>
        <v>-1.0250000000000909</v>
      </c>
      <c r="BZ78" s="30">
        <f t="shared" si="146"/>
        <v>14</v>
      </c>
      <c r="CA78" s="30">
        <v>0</v>
      </c>
      <c r="CB78">
        <v>-0.43</v>
      </c>
      <c r="CC78" s="40">
        <f t="shared" si="147"/>
        <v>138.98499999999999</v>
      </c>
      <c r="CD78" s="40">
        <f t="shared" si="148"/>
        <v>-1.0150000000000148</v>
      </c>
      <c r="CE78" s="40">
        <f t="shared" si="149"/>
        <v>140</v>
      </c>
      <c r="CF78" s="6"/>
      <c r="CG78" s="20">
        <f t="shared" si="169"/>
        <v>-2.5000000000005684E-2</v>
      </c>
      <c r="CH78" s="10"/>
      <c r="CI78" s="15">
        <f t="shared" si="150"/>
        <v>13</v>
      </c>
      <c r="CJ78" s="15">
        <f t="shared" si="151"/>
        <v>1380</v>
      </c>
      <c r="CK78" s="19">
        <v>-139.38999999999999</v>
      </c>
      <c r="CL78" s="12">
        <f t="shared" si="152"/>
        <v>1381.0550000000001</v>
      </c>
      <c r="CM78" s="12">
        <f t="shared" si="153"/>
        <v>138.94499999999999</v>
      </c>
      <c r="CN78" s="12">
        <f t="shared" si="154"/>
        <v>-140</v>
      </c>
      <c r="CO78" s="27">
        <f t="shared" si="155"/>
        <v>-1.0550000000000637</v>
      </c>
      <c r="CP78" s="30">
        <f t="shared" si="156"/>
        <v>14</v>
      </c>
      <c r="CQ78" s="30">
        <v>0</v>
      </c>
      <c r="CR78">
        <v>-0.43</v>
      </c>
      <c r="CS78" s="40">
        <f t="shared" si="157"/>
        <v>138.95999999999998</v>
      </c>
      <c r="CT78" s="40">
        <f t="shared" si="158"/>
        <v>-1.0400000000000205</v>
      </c>
      <c r="CU78" s="40">
        <f t="shared" si="159"/>
        <v>140</v>
      </c>
      <c r="DB78" s="19"/>
      <c r="DC78" s="2"/>
      <c r="DD78" s="2"/>
      <c r="DE78" s="6"/>
      <c r="DF78" s="2"/>
      <c r="DG78" s="10"/>
    </row>
    <row r="79" spans="2:111" x14ac:dyDescent="0.45">
      <c r="B79">
        <f t="shared" si="170"/>
        <v>71</v>
      </c>
      <c r="C79">
        <v>20</v>
      </c>
      <c r="D79">
        <f t="shared" si="171"/>
        <v>1420</v>
      </c>
      <c r="E79" s="19">
        <v>1418.845</v>
      </c>
      <c r="F79" s="23">
        <f t="shared" si="172"/>
        <v>19.954999999999927</v>
      </c>
      <c r="G79" s="6">
        <f t="shared" si="160"/>
        <v>-1.1549999999999727</v>
      </c>
      <c r="H79" s="12">
        <f t="shared" si="173"/>
        <v>-4.500000000007276E-2</v>
      </c>
      <c r="J79" s="20">
        <f t="shared" si="125"/>
        <v>9.9999999999909051E-3</v>
      </c>
      <c r="K79" s="2"/>
      <c r="L79">
        <f t="shared" ref="L79" si="191">L78+1</f>
        <v>71</v>
      </c>
      <c r="M79">
        <v>20</v>
      </c>
      <c r="N79">
        <f t="shared" si="175"/>
        <v>1420</v>
      </c>
      <c r="O79" s="19">
        <v>1418.6949999999999</v>
      </c>
      <c r="P79" s="23">
        <f t="shared" si="176"/>
        <v>19.964999999999918</v>
      </c>
      <c r="Q79" s="6">
        <f t="shared" si="162"/>
        <v>-1.3050000000000637</v>
      </c>
      <c r="R79" s="27">
        <f t="shared" si="177"/>
        <v>-3.5000000000081855E-2</v>
      </c>
      <c r="S79" s="19"/>
      <c r="T79" s="35"/>
      <c r="U79" s="19"/>
      <c r="V79" s="15">
        <f t="shared" si="178"/>
        <v>141</v>
      </c>
      <c r="W79" s="15">
        <f t="shared" si="179"/>
        <v>1420</v>
      </c>
      <c r="X79" s="19">
        <v>1418.7149999999999</v>
      </c>
      <c r="Y79" s="12">
        <f t="shared" si="180"/>
        <v>1417.9499999999998</v>
      </c>
      <c r="Z79" s="27">
        <f t="shared" si="181"/>
        <v>-2.0500000000001819</v>
      </c>
      <c r="AA79" s="30">
        <f t="shared" si="182"/>
        <v>142</v>
      </c>
      <c r="AB79" s="30">
        <v>0</v>
      </c>
      <c r="AC79" s="19">
        <v>0.75</v>
      </c>
      <c r="AD79" s="28">
        <f t="shared" si="163"/>
        <v>1417.9649999999999</v>
      </c>
      <c r="AE79" s="29">
        <f t="shared" si="164"/>
        <v>-2.0350000000000819</v>
      </c>
      <c r="AF79" s="19"/>
      <c r="AG79" s="20">
        <f t="shared" si="165"/>
        <v>0.20000000000004547</v>
      </c>
      <c r="AI79" s="15">
        <f t="shared" si="183"/>
        <v>141</v>
      </c>
      <c r="AJ79" s="15">
        <f t="shared" si="184"/>
        <v>1420</v>
      </c>
      <c r="AK79" s="19">
        <v>1418.915</v>
      </c>
      <c r="AL79" s="12">
        <f t="shared" si="185"/>
        <v>1418.0450000000001</v>
      </c>
      <c r="AM79" s="27">
        <f t="shared" si="186"/>
        <v>-1.9549999999999272</v>
      </c>
      <c r="AN79" s="30">
        <f t="shared" si="187"/>
        <v>142</v>
      </c>
      <c r="AO79" s="30">
        <v>0</v>
      </c>
      <c r="AP79" s="19">
        <v>0.84499999999999997</v>
      </c>
      <c r="AQ79" s="28">
        <f t="shared" si="166"/>
        <v>1418.07</v>
      </c>
      <c r="AR79" s="29">
        <f t="shared" si="167"/>
        <v>-1.9300000000000637</v>
      </c>
      <c r="AT79" s="36"/>
      <c r="AU79" s="36"/>
      <c r="AW79">
        <f t="shared" si="127"/>
        <v>6</v>
      </c>
      <c r="AX79">
        <f t="shared" si="128"/>
        <v>-20</v>
      </c>
      <c r="AY79">
        <f t="shared" si="129"/>
        <v>1400</v>
      </c>
      <c r="AZ79" s="19">
        <v>-119.375</v>
      </c>
      <c r="BA79" s="2">
        <f t="shared" si="130"/>
        <v>1400.6249999999998</v>
      </c>
      <c r="BB79" s="23">
        <f t="shared" si="131"/>
        <v>-20.03</v>
      </c>
      <c r="BC79" s="6">
        <f t="shared" si="132"/>
        <v>-0.62499999999977263</v>
      </c>
      <c r="BD79" s="12">
        <f t="shared" si="133"/>
        <v>3.0000000000001137E-2</v>
      </c>
      <c r="BF79" s="20">
        <f t="shared" si="168"/>
        <v>2.5000000000005684E-2</v>
      </c>
      <c r="BH79">
        <f t="shared" si="134"/>
        <v>6</v>
      </c>
      <c r="BI79">
        <f t="shared" si="135"/>
        <v>-20</v>
      </c>
      <c r="BJ79">
        <f t="shared" si="136"/>
        <v>1400</v>
      </c>
      <c r="BK79" s="19">
        <v>-119.405</v>
      </c>
      <c r="BL79" s="2">
        <f t="shared" si="137"/>
        <v>1400.5949999999998</v>
      </c>
      <c r="BM79" s="23">
        <f t="shared" si="104"/>
        <v>-20.004999999999995</v>
      </c>
      <c r="BN79" s="6">
        <f t="shared" si="138"/>
        <v>-0.59499999999979991</v>
      </c>
      <c r="BO79" s="12">
        <f t="shared" si="139"/>
        <v>4.9999999999954525E-3</v>
      </c>
      <c r="BP79" s="10"/>
      <c r="BQ79" s="35"/>
      <c r="BR79" s="8"/>
      <c r="BS79" s="15">
        <f t="shared" si="140"/>
        <v>11</v>
      </c>
      <c r="BT79" s="15">
        <f t="shared" si="141"/>
        <v>1400</v>
      </c>
      <c r="BU79" s="19">
        <v>-119.405</v>
      </c>
      <c r="BV79" s="12">
        <f t="shared" si="142"/>
        <v>1401.0050000000001</v>
      </c>
      <c r="BW79" s="12">
        <f t="shared" si="143"/>
        <v>118.995</v>
      </c>
      <c r="BX79" s="12">
        <f t="shared" si="144"/>
        <v>-120</v>
      </c>
      <c r="BY79" s="27">
        <f t="shared" si="145"/>
        <v>-1.0050000000001091</v>
      </c>
      <c r="BZ79" s="30">
        <f t="shared" si="146"/>
        <v>12</v>
      </c>
      <c r="CA79" s="30">
        <v>0</v>
      </c>
      <c r="CB79">
        <v>-0.44</v>
      </c>
      <c r="CC79" s="40">
        <f t="shared" si="147"/>
        <v>118.965</v>
      </c>
      <c r="CD79" s="40">
        <f t="shared" si="148"/>
        <v>-1.0349999999999966</v>
      </c>
      <c r="CE79" s="40">
        <f t="shared" si="149"/>
        <v>120</v>
      </c>
      <c r="CF79" s="6"/>
      <c r="CG79" s="20">
        <f t="shared" si="169"/>
        <v>-3.4999999999996589E-2</v>
      </c>
      <c r="CH79" s="10"/>
      <c r="CI79" s="15">
        <f t="shared" si="150"/>
        <v>11</v>
      </c>
      <c r="CJ79" s="15">
        <f t="shared" si="151"/>
        <v>1400</v>
      </c>
      <c r="CK79" s="19">
        <v>-119.37</v>
      </c>
      <c r="CL79" s="12">
        <f t="shared" si="152"/>
        <v>1401.05</v>
      </c>
      <c r="CM79" s="12">
        <f t="shared" si="153"/>
        <v>118.95</v>
      </c>
      <c r="CN79" s="12">
        <f t="shared" si="154"/>
        <v>-120</v>
      </c>
      <c r="CO79" s="27">
        <f t="shared" si="155"/>
        <v>-1.0499999999999545</v>
      </c>
      <c r="CP79" s="30">
        <f t="shared" si="156"/>
        <v>12</v>
      </c>
      <c r="CQ79" s="30">
        <v>0</v>
      </c>
      <c r="CR79">
        <v>-0.44500000000000001</v>
      </c>
      <c r="CS79" s="40">
        <f t="shared" si="157"/>
        <v>118.92500000000001</v>
      </c>
      <c r="CT79" s="40">
        <f t="shared" si="158"/>
        <v>-1.0749999999999886</v>
      </c>
      <c r="CU79" s="40">
        <f t="shared" si="159"/>
        <v>120</v>
      </c>
      <c r="DB79" s="19"/>
      <c r="DC79" s="2"/>
      <c r="DD79" s="2"/>
      <c r="DE79" s="6"/>
      <c r="DF79" s="2"/>
      <c r="DG79" s="10"/>
    </row>
    <row r="80" spans="2:111" x14ac:dyDescent="0.45">
      <c r="B80">
        <f t="shared" si="170"/>
        <v>72</v>
      </c>
      <c r="C80">
        <v>20</v>
      </c>
      <c r="D80">
        <f t="shared" si="171"/>
        <v>1440</v>
      </c>
      <c r="E80" s="19">
        <v>1438.7349999999999</v>
      </c>
      <c r="F80" s="23">
        <f t="shared" si="172"/>
        <v>19.889999999999873</v>
      </c>
      <c r="G80" s="6">
        <f t="shared" si="160"/>
        <v>-1.2650000000001</v>
      </c>
      <c r="H80" s="12">
        <f t="shared" si="173"/>
        <v>-0.11000000000012733</v>
      </c>
      <c r="J80" s="20">
        <f t="shared" si="125"/>
        <v>1.0000000000218279E-2</v>
      </c>
      <c r="K80" s="2"/>
      <c r="L80">
        <f t="shared" ref="L80" si="192">L79+1</f>
        <v>72</v>
      </c>
      <c r="M80">
        <v>20</v>
      </c>
      <c r="N80">
        <f t="shared" si="175"/>
        <v>1440</v>
      </c>
      <c r="O80" s="19">
        <v>1438.595</v>
      </c>
      <c r="P80" s="23">
        <f t="shared" si="176"/>
        <v>19.900000000000091</v>
      </c>
      <c r="Q80" s="6">
        <f t="shared" si="162"/>
        <v>-1.4049999999999727</v>
      </c>
      <c r="R80" s="27">
        <f t="shared" si="177"/>
        <v>-9.9999999999909051E-2</v>
      </c>
      <c r="S80" s="19"/>
      <c r="T80" s="35"/>
      <c r="U80" s="19"/>
      <c r="V80" s="15">
        <f t="shared" si="178"/>
        <v>143</v>
      </c>
      <c r="W80" s="15">
        <f t="shared" si="179"/>
        <v>1440</v>
      </c>
      <c r="X80" s="19">
        <v>1438.5650000000001</v>
      </c>
      <c r="Y80" s="12">
        <f t="shared" si="180"/>
        <v>1437.8150000000001</v>
      </c>
      <c r="Z80" s="27">
        <f t="shared" si="181"/>
        <v>-2.1849999999999454</v>
      </c>
      <c r="AA80" s="30">
        <f t="shared" si="182"/>
        <v>144</v>
      </c>
      <c r="AB80" s="30">
        <v>0</v>
      </c>
      <c r="AC80" s="19">
        <v>0.74</v>
      </c>
      <c r="AD80" s="28">
        <f t="shared" si="163"/>
        <v>1437.825</v>
      </c>
      <c r="AE80" s="29">
        <f t="shared" si="164"/>
        <v>-2.1749999999999545</v>
      </c>
      <c r="AF80" s="19"/>
      <c r="AG80" s="20">
        <f t="shared" si="165"/>
        <v>0.19000000000005457</v>
      </c>
      <c r="AI80" s="15">
        <f t="shared" si="183"/>
        <v>143</v>
      </c>
      <c r="AJ80" s="15">
        <f t="shared" si="184"/>
        <v>1440</v>
      </c>
      <c r="AK80" s="19">
        <v>1438.7550000000001</v>
      </c>
      <c r="AL80" s="12">
        <f t="shared" si="185"/>
        <v>1437.91</v>
      </c>
      <c r="AM80" s="27">
        <f t="shared" si="186"/>
        <v>-2.0899999999999181</v>
      </c>
      <c r="AN80" s="30">
        <f t="shared" si="187"/>
        <v>144</v>
      </c>
      <c r="AO80" s="30">
        <v>0</v>
      </c>
      <c r="AP80" s="19">
        <v>0.85</v>
      </c>
      <c r="AQ80" s="28">
        <f t="shared" si="166"/>
        <v>1437.9050000000002</v>
      </c>
      <c r="AR80" s="29">
        <f t="shared" si="167"/>
        <v>-2.0949999999997999</v>
      </c>
      <c r="AT80" s="36"/>
      <c r="AU80" s="36"/>
      <c r="AW80">
        <f t="shared" si="127"/>
        <v>5</v>
      </c>
      <c r="AX80">
        <f t="shared" si="128"/>
        <v>-20</v>
      </c>
      <c r="AY80">
        <f t="shared" si="129"/>
        <v>1420</v>
      </c>
      <c r="AZ80" s="19">
        <v>-99.344999999999999</v>
      </c>
      <c r="BA80" s="2">
        <f t="shared" si="130"/>
        <v>1420.6549999999997</v>
      </c>
      <c r="BB80" s="23">
        <f t="shared" si="131"/>
        <v>-19.894999999999996</v>
      </c>
      <c r="BC80" s="6">
        <f t="shared" si="132"/>
        <v>-0.65499999999974534</v>
      </c>
      <c r="BD80" s="12">
        <f t="shared" si="133"/>
        <v>-0.10500000000000398</v>
      </c>
      <c r="BF80" s="20">
        <f t="shared" si="168"/>
        <v>-3.0000000000015348E-2</v>
      </c>
      <c r="BH80">
        <f t="shared" si="134"/>
        <v>5</v>
      </c>
      <c r="BI80">
        <f t="shared" si="135"/>
        <v>-20</v>
      </c>
      <c r="BJ80">
        <f t="shared" si="136"/>
        <v>1420</v>
      </c>
      <c r="BK80" s="19">
        <v>-99.4</v>
      </c>
      <c r="BL80" s="2">
        <f t="shared" si="137"/>
        <v>1420.6</v>
      </c>
      <c r="BM80" s="23">
        <f t="shared" si="104"/>
        <v>-19.925000000000011</v>
      </c>
      <c r="BN80" s="6">
        <f t="shared" si="138"/>
        <v>-0.59999999999990905</v>
      </c>
      <c r="BO80" s="12">
        <f t="shared" si="139"/>
        <v>-7.4999999999988631E-2</v>
      </c>
      <c r="BP80" s="10"/>
      <c r="BQ80" s="35"/>
      <c r="BR80" s="8"/>
      <c r="BS80" s="15">
        <f t="shared" si="140"/>
        <v>9</v>
      </c>
      <c r="BT80" s="15">
        <f t="shared" si="141"/>
        <v>1420</v>
      </c>
      <c r="BU80" s="19">
        <v>-99.4</v>
      </c>
      <c r="BV80" s="12">
        <f t="shared" si="142"/>
        <v>1421.04</v>
      </c>
      <c r="BW80" s="12">
        <f t="shared" si="143"/>
        <v>98.960000000000008</v>
      </c>
      <c r="BX80" s="12">
        <f t="shared" si="144"/>
        <v>-100</v>
      </c>
      <c r="BY80" s="27">
        <f t="shared" si="145"/>
        <v>-1.0399999999999636</v>
      </c>
      <c r="BZ80" s="30">
        <f t="shared" si="146"/>
        <v>10</v>
      </c>
      <c r="CA80" s="30">
        <v>0</v>
      </c>
      <c r="CB80">
        <v>-0.41</v>
      </c>
      <c r="CC80" s="40">
        <f t="shared" si="147"/>
        <v>98.990000000000009</v>
      </c>
      <c r="CD80" s="40">
        <f t="shared" si="148"/>
        <v>-1.0099999999999909</v>
      </c>
      <c r="CE80" s="40">
        <f t="shared" si="149"/>
        <v>100</v>
      </c>
      <c r="CF80" s="6"/>
      <c r="CG80" s="20">
        <f t="shared" si="169"/>
        <v>-1.5000000000000568E-2</v>
      </c>
      <c r="CH80" s="10"/>
      <c r="CI80" s="15">
        <f t="shared" si="150"/>
        <v>9</v>
      </c>
      <c r="CJ80" s="15">
        <f t="shared" si="151"/>
        <v>1420</v>
      </c>
      <c r="CK80" s="19">
        <v>-99.385000000000005</v>
      </c>
      <c r="CL80" s="12">
        <f t="shared" si="152"/>
        <v>1421.06</v>
      </c>
      <c r="CM80" s="12">
        <f t="shared" si="153"/>
        <v>98.940000000000012</v>
      </c>
      <c r="CN80" s="12">
        <f t="shared" si="154"/>
        <v>-100</v>
      </c>
      <c r="CO80" s="27">
        <f t="shared" si="155"/>
        <v>-1.0599999999999454</v>
      </c>
      <c r="CP80" s="30">
        <f t="shared" si="156"/>
        <v>10</v>
      </c>
      <c r="CQ80" s="30">
        <v>0</v>
      </c>
      <c r="CR80">
        <v>-0.42</v>
      </c>
      <c r="CS80" s="40">
        <f t="shared" si="157"/>
        <v>98.965000000000003</v>
      </c>
      <c r="CT80" s="40">
        <f t="shared" si="158"/>
        <v>-1.0349999999999966</v>
      </c>
      <c r="CU80" s="40">
        <f t="shared" si="159"/>
        <v>100</v>
      </c>
      <c r="DB80" s="19"/>
      <c r="DC80" s="2"/>
      <c r="DD80" s="2"/>
      <c r="DE80" s="6"/>
      <c r="DF80" s="2"/>
      <c r="DG80" s="10"/>
    </row>
    <row r="81" spans="2:111" x14ac:dyDescent="0.45">
      <c r="B81">
        <f t="shared" si="170"/>
        <v>73</v>
      </c>
      <c r="C81">
        <v>20</v>
      </c>
      <c r="D81">
        <f t="shared" si="171"/>
        <v>1460</v>
      </c>
      <c r="E81" s="19">
        <v>1458.57</v>
      </c>
      <c r="F81" s="23">
        <f t="shared" si="172"/>
        <v>19.835000000000036</v>
      </c>
      <c r="G81" s="6">
        <f t="shared" si="160"/>
        <v>-1.4300000000000637</v>
      </c>
      <c r="H81" s="12">
        <f t="shared" si="173"/>
        <v>-0.16499999999996362</v>
      </c>
      <c r="J81" s="20">
        <f t="shared" si="125"/>
        <v>-9.9999999999909051E-3</v>
      </c>
      <c r="K81" s="2"/>
      <c r="L81">
        <f t="shared" ref="L81" si="193">L80+1</f>
        <v>73</v>
      </c>
      <c r="M81">
        <v>20</v>
      </c>
      <c r="N81">
        <f t="shared" si="175"/>
        <v>1460</v>
      </c>
      <c r="O81" s="19">
        <v>1458.42</v>
      </c>
      <c r="P81" s="23">
        <f t="shared" si="176"/>
        <v>19.825000000000045</v>
      </c>
      <c r="Q81" s="6">
        <f t="shared" si="162"/>
        <v>-1.5799999999999272</v>
      </c>
      <c r="R81" s="27">
        <f t="shared" si="177"/>
        <v>-0.17499999999995453</v>
      </c>
      <c r="S81" s="19"/>
      <c r="T81" s="35"/>
      <c r="U81" s="19"/>
      <c r="V81" s="15">
        <f t="shared" si="178"/>
        <v>145</v>
      </c>
      <c r="W81" s="15">
        <f t="shared" si="179"/>
        <v>1460</v>
      </c>
      <c r="X81" s="19">
        <v>1458.4549999999999</v>
      </c>
      <c r="Y81" s="12">
        <f t="shared" si="180"/>
        <v>1457.7149999999999</v>
      </c>
      <c r="Z81" s="27">
        <f t="shared" si="181"/>
        <v>-2.2850000000000819</v>
      </c>
      <c r="AA81" s="30">
        <f t="shared" si="182"/>
        <v>146</v>
      </c>
      <c r="AB81" s="30">
        <v>0</v>
      </c>
      <c r="AC81" s="19">
        <v>0.72499999999999998</v>
      </c>
      <c r="AD81" s="28">
        <f t="shared" si="163"/>
        <v>1457.73</v>
      </c>
      <c r="AE81" s="29">
        <f t="shared" si="164"/>
        <v>-2.2699999999999818</v>
      </c>
      <c r="AF81" s="19"/>
      <c r="AG81" s="20">
        <f t="shared" si="165"/>
        <v>0.1750000000001819</v>
      </c>
      <c r="AI81" s="15">
        <f t="shared" si="183"/>
        <v>145</v>
      </c>
      <c r="AJ81" s="15">
        <f t="shared" si="184"/>
        <v>1460</v>
      </c>
      <c r="AK81" s="19">
        <v>1458.63</v>
      </c>
      <c r="AL81" s="12">
        <f t="shared" si="185"/>
        <v>1457.7800000000002</v>
      </c>
      <c r="AM81" s="27">
        <f t="shared" si="186"/>
        <v>-2.2199999999997999</v>
      </c>
      <c r="AN81" s="30">
        <f t="shared" si="187"/>
        <v>146</v>
      </c>
      <c r="AO81" s="30">
        <v>0</v>
      </c>
      <c r="AP81" s="19">
        <v>0.85</v>
      </c>
      <c r="AQ81" s="28">
        <f t="shared" si="166"/>
        <v>1457.7800000000002</v>
      </c>
      <c r="AR81" s="29">
        <f t="shared" si="167"/>
        <v>-2.2199999999997999</v>
      </c>
      <c r="AT81" s="36"/>
      <c r="AU81" s="36"/>
      <c r="AW81">
        <f t="shared" si="127"/>
        <v>4</v>
      </c>
      <c r="AX81">
        <f>AX82</f>
        <v>-20</v>
      </c>
      <c r="AY81">
        <f t="shared" si="129"/>
        <v>1440</v>
      </c>
      <c r="AZ81" s="19">
        <v>-79.45</v>
      </c>
      <c r="BA81" s="2">
        <f t="shared" si="130"/>
        <v>1440.5499999999997</v>
      </c>
      <c r="BB81" s="23">
        <f t="shared" si="131"/>
        <v>-19.910000000000004</v>
      </c>
      <c r="BC81" s="6">
        <f t="shared" si="132"/>
        <v>-0.54999999999972715</v>
      </c>
      <c r="BD81" s="12">
        <f t="shared" si="133"/>
        <v>-8.9999999999996305E-2</v>
      </c>
      <c r="BF81" s="20">
        <f t="shared" si="168"/>
        <v>1.5000000000007674E-2</v>
      </c>
      <c r="BH81">
        <f t="shared" si="134"/>
        <v>4</v>
      </c>
      <c r="BI81">
        <f>BI82</f>
        <v>-20</v>
      </c>
      <c r="BJ81">
        <f t="shared" si="136"/>
        <v>1440</v>
      </c>
      <c r="BK81" s="19">
        <v>-79.474999999999994</v>
      </c>
      <c r="BL81" s="2">
        <f t="shared" si="137"/>
        <v>1440.5249999999999</v>
      </c>
      <c r="BM81" s="23">
        <f t="shared" si="104"/>
        <v>-19.894999999999996</v>
      </c>
      <c r="BN81" s="6">
        <f t="shared" si="138"/>
        <v>-0.52499999999986358</v>
      </c>
      <c r="BO81" s="12">
        <f t="shared" si="139"/>
        <v>-0.10500000000000398</v>
      </c>
      <c r="BP81" s="10"/>
      <c r="BQ81" s="35"/>
      <c r="BR81" s="8"/>
      <c r="BS81" s="15">
        <f t="shared" si="140"/>
        <v>7</v>
      </c>
      <c r="BT81" s="15">
        <f t="shared" si="141"/>
        <v>1440</v>
      </c>
      <c r="BU81" s="19">
        <v>-79.474999999999994</v>
      </c>
      <c r="BV81" s="12">
        <f t="shared" si="142"/>
        <v>1440.89</v>
      </c>
      <c r="BW81" s="12">
        <f t="shared" si="143"/>
        <v>79.11</v>
      </c>
      <c r="BX81" s="12">
        <f t="shared" si="144"/>
        <v>-80</v>
      </c>
      <c r="BY81" s="27">
        <f t="shared" si="145"/>
        <v>-0.89000000000010004</v>
      </c>
      <c r="BZ81" s="30">
        <f t="shared" si="146"/>
        <v>8</v>
      </c>
      <c r="CA81" s="30">
        <v>0</v>
      </c>
      <c r="CB81">
        <v>-0.44</v>
      </c>
      <c r="CC81" s="40">
        <f t="shared" si="147"/>
        <v>79.034999999999997</v>
      </c>
      <c r="CD81" s="40">
        <f t="shared" si="148"/>
        <v>-0.96500000000000341</v>
      </c>
      <c r="CE81" s="40">
        <f t="shared" si="149"/>
        <v>80</v>
      </c>
      <c r="CF81" s="6"/>
      <c r="CG81" s="20">
        <f t="shared" si="169"/>
        <v>-1.9999999999996021E-2</v>
      </c>
      <c r="CH81" s="10"/>
      <c r="CI81" s="15">
        <f t="shared" si="150"/>
        <v>7</v>
      </c>
      <c r="CJ81" s="15">
        <f t="shared" si="151"/>
        <v>1440</v>
      </c>
      <c r="CK81" s="19">
        <v>-79.454999999999998</v>
      </c>
      <c r="CL81" s="12">
        <f t="shared" si="152"/>
        <v>1440.94</v>
      </c>
      <c r="CM81" s="12">
        <f t="shared" si="153"/>
        <v>79.06</v>
      </c>
      <c r="CN81" s="12">
        <f t="shared" si="154"/>
        <v>-80</v>
      </c>
      <c r="CO81" s="27">
        <f t="shared" si="155"/>
        <v>-0.94000000000005457</v>
      </c>
      <c r="CP81" s="30">
        <f t="shared" si="156"/>
        <v>8</v>
      </c>
      <c r="CQ81" s="30">
        <v>0</v>
      </c>
      <c r="CR81">
        <v>-0.44500000000000001</v>
      </c>
      <c r="CS81" s="40">
        <f t="shared" si="157"/>
        <v>79.010000000000005</v>
      </c>
      <c r="CT81" s="40">
        <f t="shared" si="158"/>
        <v>-0.98999999999999488</v>
      </c>
      <c r="CU81" s="40">
        <f t="shared" si="159"/>
        <v>80</v>
      </c>
      <c r="DB81" s="19"/>
      <c r="DC81" s="2"/>
      <c r="DD81" s="2"/>
      <c r="DE81" s="6"/>
      <c r="DF81" s="2"/>
      <c r="DG81" s="10"/>
    </row>
    <row r="82" spans="2:111" x14ac:dyDescent="0.45">
      <c r="B82">
        <f t="shared" si="170"/>
        <v>74</v>
      </c>
      <c r="C82">
        <v>20</v>
      </c>
      <c r="D82">
        <f t="shared" si="171"/>
        <v>1480</v>
      </c>
      <c r="E82" s="19">
        <v>1478.43</v>
      </c>
      <c r="F82" s="23">
        <f t="shared" si="172"/>
        <v>19.860000000000127</v>
      </c>
      <c r="G82" s="6">
        <f t="shared" si="160"/>
        <v>-1.5699999999999363</v>
      </c>
      <c r="H82" s="12">
        <f t="shared" si="173"/>
        <v>-0.13999999999987267</v>
      </c>
      <c r="J82" s="20">
        <f t="shared" si="125"/>
        <v>-5.0000000001091394E-3</v>
      </c>
      <c r="K82" s="2"/>
      <c r="L82">
        <f t="shared" ref="L82" si="194">L81+1</f>
        <v>74</v>
      </c>
      <c r="M82">
        <v>20</v>
      </c>
      <c r="N82">
        <f t="shared" si="175"/>
        <v>1480</v>
      </c>
      <c r="O82" s="19">
        <v>1478.2750000000001</v>
      </c>
      <c r="P82" s="23">
        <f t="shared" si="176"/>
        <v>19.855000000000018</v>
      </c>
      <c r="Q82" s="6">
        <f t="shared" si="162"/>
        <v>-1.7249999999999091</v>
      </c>
      <c r="R82" s="27">
        <f t="shared" si="177"/>
        <v>-0.14499999999998181</v>
      </c>
      <c r="S82" s="19"/>
      <c r="T82" s="35"/>
      <c r="U82" s="19"/>
      <c r="V82" s="15">
        <f t="shared" si="178"/>
        <v>147</v>
      </c>
      <c r="W82" s="15">
        <f t="shared" si="179"/>
        <v>1480</v>
      </c>
      <c r="X82" s="19">
        <v>1478.2850000000001</v>
      </c>
      <c r="Y82" s="12">
        <f t="shared" si="180"/>
        <v>1477.5600000000002</v>
      </c>
      <c r="Z82" s="27">
        <f t="shared" si="181"/>
        <v>-2.4399999999998272</v>
      </c>
      <c r="AA82" s="30">
        <f t="shared" si="182"/>
        <v>148</v>
      </c>
      <c r="AB82" s="30">
        <v>0</v>
      </c>
      <c r="AC82" s="19">
        <v>0.7</v>
      </c>
      <c r="AD82" s="28">
        <f t="shared" si="163"/>
        <v>1477.585</v>
      </c>
      <c r="AE82" s="29">
        <f t="shared" si="164"/>
        <v>-2.4149999999999636</v>
      </c>
      <c r="AF82" s="19"/>
      <c r="AG82" s="20">
        <f t="shared" si="165"/>
        <v>0.20499999999992724</v>
      </c>
      <c r="AI82" s="15">
        <f t="shared" si="183"/>
        <v>147</v>
      </c>
      <c r="AJ82" s="15">
        <f t="shared" si="184"/>
        <v>1480</v>
      </c>
      <c r="AK82" s="19">
        <v>1478.49</v>
      </c>
      <c r="AL82" s="12">
        <f t="shared" si="185"/>
        <v>1477.64</v>
      </c>
      <c r="AM82" s="27">
        <f t="shared" si="186"/>
        <v>-2.3599999999999</v>
      </c>
      <c r="AN82" s="30">
        <f t="shared" si="187"/>
        <v>148</v>
      </c>
      <c r="AO82" s="30">
        <v>0</v>
      </c>
      <c r="AP82" s="19">
        <v>0.85</v>
      </c>
      <c r="AQ82" s="28">
        <f t="shared" si="166"/>
        <v>1477.64</v>
      </c>
      <c r="AR82" s="29">
        <f t="shared" si="167"/>
        <v>-2.3599999999999</v>
      </c>
      <c r="AT82" s="36"/>
      <c r="AU82" s="36"/>
      <c r="AW82">
        <f t="shared" si="127"/>
        <v>3</v>
      </c>
      <c r="AX82">
        <v>-20</v>
      </c>
      <c r="AY82">
        <f t="shared" si="129"/>
        <v>1460</v>
      </c>
      <c r="AZ82" s="19">
        <v>-59.54</v>
      </c>
      <c r="BA82" s="2">
        <f t="shared" si="130"/>
        <v>1460.4599999999998</v>
      </c>
      <c r="BB82" s="23">
        <f t="shared" si="131"/>
        <v>-19.89</v>
      </c>
      <c r="BC82" s="6">
        <f t="shared" si="132"/>
        <v>-0.45999999999980901</v>
      </c>
      <c r="BD82" s="12">
        <f t="shared" si="133"/>
        <v>-0.10999999999999943</v>
      </c>
      <c r="BF82" s="20">
        <f t="shared" si="168"/>
        <v>-5.9999999999995168E-2</v>
      </c>
      <c r="BH82">
        <f t="shared" si="134"/>
        <v>3</v>
      </c>
      <c r="BI82">
        <v>-20</v>
      </c>
      <c r="BJ82">
        <f t="shared" si="136"/>
        <v>1460</v>
      </c>
      <c r="BK82" s="19">
        <v>-59.58</v>
      </c>
      <c r="BL82" s="2">
        <f t="shared" si="137"/>
        <v>1460.4199999999998</v>
      </c>
      <c r="BM82" s="23">
        <f t="shared" si="104"/>
        <v>-19.949999999999996</v>
      </c>
      <c r="BN82" s="6">
        <f t="shared" si="138"/>
        <v>-0.41999999999984539</v>
      </c>
      <c r="BO82" s="12">
        <f t="shared" si="139"/>
        <v>-5.0000000000004263E-2</v>
      </c>
      <c r="BP82" s="10"/>
      <c r="BQ82" s="35"/>
      <c r="BR82" s="8"/>
      <c r="BS82" s="15">
        <f>BS83+2</f>
        <v>5</v>
      </c>
      <c r="BT82" s="15">
        <f t="shared" si="141"/>
        <v>1460</v>
      </c>
      <c r="BU82" s="19">
        <v>-59.58</v>
      </c>
      <c r="BV82" s="12">
        <f t="shared" si="142"/>
        <v>1460.85</v>
      </c>
      <c r="BW82" s="12">
        <f t="shared" si="143"/>
        <v>59.15</v>
      </c>
      <c r="BX82" s="12">
        <f t="shared" si="144"/>
        <v>-60</v>
      </c>
      <c r="BY82" s="27">
        <f t="shared" si="145"/>
        <v>-0.84999999999990905</v>
      </c>
      <c r="BZ82" s="30">
        <f t="shared" si="146"/>
        <v>6</v>
      </c>
      <c r="CA82" s="30">
        <v>0</v>
      </c>
      <c r="CB82">
        <v>-0.36499999999999999</v>
      </c>
      <c r="CC82" s="40">
        <f t="shared" si="147"/>
        <v>59.214999999999996</v>
      </c>
      <c r="CD82" s="40">
        <f t="shared" si="148"/>
        <v>-0.78500000000000369</v>
      </c>
      <c r="CE82" s="40">
        <f t="shared" si="149"/>
        <v>60</v>
      </c>
      <c r="CF82" s="6"/>
      <c r="CG82" s="20">
        <f t="shared" si="169"/>
        <v>-1.5000000000000568E-2</v>
      </c>
      <c r="CH82" s="10"/>
      <c r="CI82" s="15">
        <f>CI83+2</f>
        <v>5</v>
      </c>
      <c r="CJ82" s="15">
        <f t="shared" si="151"/>
        <v>1460</v>
      </c>
      <c r="CK82" s="19">
        <v>-59.564999999999998</v>
      </c>
      <c r="CL82" s="12">
        <f t="shared" si="152"/>
        <v>1460.89</v>
      </c>
      <c r="CM82" s="12">
        <f t="shared" si="153"/>
        <v>59.11</v>
      </c>
      <c r="CN82" s="12">
        <f t="shared" si="154"/>
        <v>-60</v>
      </c>
      <c r="CO82" s="27">
        <f t="shared" si="155"/>
        <v>-0.89000000000010004</v>
      </c>
      <c r="CP82" s="30">
        <f t="shared" si="156"/>
        <v>6</v>
      </c>
      <c r="CQ82" s="30">
        <v>0</v>
      </c>
      <c r="CR82">
        <v>-0.39500000000000002</v>
      </c>
      <c r="CS82" s="40">
        <f t="shared" si="157"/>
        <v>59.169999999999995</v>
      </c>
      <c r="CT82" s="40">
        <f t="shared" si="158"/>
        <v>-0.8300000000000054</v>
      </c>
      <c r="CU82" s="40">
        <f t="shared" si="159"/>
        <v>60</v>
      </c>
      <c r="DB82" s="19"/>
      <c r="DC82" s="2"/>
      <c r="DD82" s="2"/>
      <c r="DE82" s="6"/>
      <c r="DF82" s="2"/>
      <c r="DG82" s="10"/>
    </row>
    <row r="83" spans="2:111" x14ac:dyDescent="0.45">
      <c r="B83">
        <f t="shared" si="170"/>
        <v>75</v>
      </c>
      <c r="C83">
        <v>20</v>
      </c>
      <c r="D83">
        <f t="shared" si="171"/>
        <v>1500</v>
      </c>
      <c r="E83" s="19">
        <v>1498.335</v>
      </c>
      <c r="F83" s="23">
        <f t="shared" si="172"/>
        <v>19.904999999999973</v>
      </c>
      <c r="G83" s="6">
        <f t="shared" si="160"/>
        <v>-1.6649999999999636</v>
      </c>
      <c r="H83" s="12">
        <f t="shared" si="173"/>
        <v>-9.5000000000027285E-2</v>
      </c>
      <c r="J83" s="20">
        <f t="shared" si="125"/>
        <v>-5.0000000001091394E-3</v>
      </c>
      <c r="K83" s="2"/>
      <c r="L83">
        <f t="shared" ref="L83" si="195">L82+1</f>
        <v>75</v>
      </c>
      <c r="M83">
        <v>20</v>
      </c>
      <c r="N83">
        <f t="shared" si="175"/>
        <v>1500</v>
      </c>
      <c r="O83" s="19">
        <v>1498.175</v>
      </c>
      <c r="P83" s="23">
        <f t="shared" si="176"/>
        <v>19.899999999999864</v>
      </c>
      <c r="Q83" s="6">
        <f t="shared" si="162"/>
        <v>-1.8250000000000455</v>
      </c>
      <c r="R83" s="27">
        <f t="shared" si="177"/>
        <v>-0.10000000000013642</v>
      </c>
      <c r="S83" s="19"/>
      <c r="T83" s="35"/>
      <c r="U83" s="19"/>
      <c r="V83" s="15">
        <f t="shared" si="178"/>
        <v>149</v>
      </c>
      <c r="W83" s="15">
        <f t="shared" si="179"/>
        <v>1500</v>
      </c>
      <c r="X83" s="19">
        <v>1498.145</v>
      </c>
      <c r="Y83" s="12">
        <f t="shared" si="180"/>
        <v>1497.4449999999999</v>
      </c>
      <c r="Z83" s="27">
        <f t="shared" si="181"/>
        <v>-2.5550000000000637</v>
      </c>
      <c r="AA83" s="30">
        <f t="shared" si="182"/>
        <v>150</v>
      </c>
      <c r="AB83" s="30">
        <v>0</v>
      </c>
      <c r="AC83" s="19">
        <v>0.72</v>
      </c>
      <c r="AD83" s="28">
        <f t="shared" si="163"/>
        <v>1497.425</v>
      </c>
      <c r="AE83" s="29">
        <f t="shared" si="164"/>
        <v>-2.5750000000000455</v>
      </c>
      <c r="AF83" s="19"/>
      <c r="AG83" s="20">
        <f t="shared" si="165"/>
        <v>0.20499999999992724</v>
      </c>
      <c r="AI83" s="15">
        <f t="shared" si="183"/>
        <v>149</v>
      </c>
      <c r="AJ83" s="15">
        <f t="shared" si="184"/>
        <v>1500</v>
      </c>
      <c r="AK83" s="19">
        <v>1498.35</v>
      </c>
      <c r="AL83" s="12">
        <f t="shared" si="185"/>
        <v>1497.5</v>
      </c>
      <c r="AM83" s="27">
        <f t="shared" si="186"/>
        <v>-2.5</v>
      </c>
      <c r="AN83" s="30">
        <f t="shared" si="187"/>
        <v>150</v>
      </c>
      <c r="AO83" s="30">
        <v>0</v>
      </c>
      <c r="AP83" s="19">
        <v>0.84499999999999997</v>
      </c>
      <c r="AQ83" s="28">
        <f t="shared" si="166"/>
        <v>1497.5049999999999</v>
      </c>
      <c r="AR83" s="29">
        <f t="shared" si="167"/>
        <v>-2.4950000000001182</v>
      </c>
      <c r="AT83" s="36"/>
      <c r="AU83" s="36"/>
      <c r="AW83">
        <f>AW84+1</f>
        <v>2</v>
      </c>
      <c r="AX83">
        <v>-20</v>
      </c>
      <c r="AY83">
        <f>AY84+AX83</f>
        <v>1480</v>
      </c>
      <c r="AZ83" s="19">
        <v>-39.65</v>
      </c>
      <c r="BA83" s="2">
        <f>BA84+BB83</f>
        <v>1480.35</v>
      </c>
      <c r="BB83" s="23">
        <f>AZ83-AZ84</f>
        <v>-19.91</v>
      </c>
      <c r="BC83" s="6">
        <f t="shared" si="132"/>
        <v>-0.34999999999990905</v>
      </c>
      <c r="BD83" s="12">
        <f t="shared" si="133"/>
        <v>-8.9999999999999858E-2</v>
      </c>
      <c r="BF83" s="20">
        <f t="shared" si="168"/>
        <v>9.9999999999980105E-3</v>
      </c>
      <c r="BH83">
        <f>BH84+1</f>
        <v>2</v>
      </c>
      <c r="BI83">
        <v>-20</v>
      </c>
      <c r="BJ83">
        <f>BJ84+BI83</f>
        <v>1480</v>
      </c>
      <c r="BK83" s="19">
        <v>-39.630000000000003</v>
      </c>
      <c r="BL83" s="2">
        <f>BL84+BM83</f>
        <v>1480.37</v>
      </c>
      <c r="BM83" s="23">
        <f>BK83-BK84</f>
        <v>-19.900000000000002</v>
      </c>
      <c r="BN83" s="6">
        <f t="shared" si="138"/>
        <v>-0.36999999999989086</v>
      </c>
      <c r="BO83" s="12">
        <f t="shared" si="139"/>
        <v>-9.9999999999997868E-2</v>
      </c>
      <c r="BP83" s="10"/>
      <c r="BQ83" s="35"/>
      <c r="BR83" s="8"/>
      <c r="BS83" s="15">
        <v>3</v>
      </c>
      <c r="BT83" s="15">
        <f>BT84-20</f>
        <v>1480</v>
      </c>
      <c r="BU83" s="19">
        <v>-39.630000000000003</v>
      </c>
      <c r="BV83" s="12">
        <f>1520-BW83</f>
        <v>1480.76</v>
      </c>
      <c r="BW83" s="12">
        <f>CB84-BU83</f>
        <v>39.24</v>
      </c>
      <c r="BX83" s="12">
        <f>BX84-20</f>
        <v>-40</v>
      </c>
      <c r="BY83" s="27">
        <f t="shared" si="145"/>
        <v>-0.75999999999999091</v>
      </c>
      <c r="BZ83" s="30">
        <f>BZ84+2</f>
        <v>4</v>
      </c>
      <c r="CA83" s="30">
        <v>0</v>
      </c>
      <c r="CB83">
        <v>-0.43</v>
      </c>
      <c r="CC83" s="40">
        <f>CB83-BU83</f>
        <v>39.200000000000003</v>
      </c>
      <c r="CD83" s="40">
        <f t="shared" si="148"/>
        <v>-0.79999999999999716</v>
      </c>
      <c r="CE83" s="40">
        <f>CE84+20</f>
        <v>40</v>
      </c>
      <c r="CF83" s="6"/>
      <c r="CG83" s="20">
        <f t="shared" si="169"/>
        <v>-2.0000000000003126E-2</v>
      </c>
      <c r="CH83" s="10"/>
      <c r="CI83" s="15">
        <v>3</v>
      </c>
      <c r="CJ83" s="15">
        <f>CJ84-20</f>
        <v>1480</v>
      </c>
      <c r="CK83" s="19">
        <v>-39.61</v>
      </c>
      <c r="CL83" s="12">
        <f>1520-CM83</f>
        <v>1480.8</v>
      </c>
      <c r="CM83" s="12">
        <f>CR84-CK83</f>
        <v>39.200000000000003</v>
      </c>
      <c r="CN83" s="12">
        <f>CN84-20</f>
        <v>-40</v>
      </c>
      <c r="CO83" s="27">
        <f t="shared" si="155"/>
        <v>-0.79999999999995453</v>
      </c>
      <c r="CP83" s="30">
        <f>CP84+2</f>
        <v>4</v>
      </c>
      <c r="CQ83" s="30">
        <v>0</v>
      </c>
      <c r="CR83">
        <v>-0.45500000000000002</v>
      </c>
      <c r="CS83" s="40">
        <f>CR83-CK83</f>
        <v>39.155000000000001</v>
      </c>
      <c r="CT83" s="40">
        <f t="shared" si="158"/>
        <v>-0.84499999999999886</v>
      </c>
      <c r="CU83" s="40">
        <f>CU84+20</f>
        <v>40</v>
      </c>
      <c r="DB83" s="19"/>
      <c r="DC83" s="2"/>
      <c r="DD83" s="2"/>
      <c r="DE83" s="6"/>
      <c r="DF83" s="2"/>
      <c r="DG83" s="10"/>
    </row>
    <row r="84" spans="2:111" x14ac:dyDescent="0.45">
      <c r="B84">
        <f t="shared" si="170"/>
        <v>76</v>
      </c>
      <c r="C84">
        <v>20</v>
      </c>
      <c r="D84">
        <f t="shared" si="171"/>
        <v>1520</v>
      </c>
      <c r="E84" s="19">
        <v>1518.2650000000001</v>
      </c>
      <c r="F84" s="23">
        <f t="shared" si="172"/>
        <v>19.930000000000064</v>
      </c>
      <c r="G84" s="6">
        <f t="shared" si="160"/>
        <v>-1.7349999999999</v>
      </c>
      <c r="H84" s="12">
        <f t="shared" si="173"/>
        <v>-6.9999999999936335E-2</v>
      </c>
      <c r="J84" s="20">
        <f t="shared" si="125"/>
        <v>2.5000000000090949E-2</v>
      </c>
      <c r="K84" s="2"/>
      <c r="L84">
        <f t="shared" ref="L84" si="196">L83+1</f>
        <v>76</v>
      </c>
      <c r="M84">
        <v>20</v>
      </c>
      <c r="N84">
        <f t="shared" si="175"/>
        <v>1520</v>
      </c>
      <c r="O84" s="19">
        <v>1518.13</v>
      </c>
      <c r="P84" s="23">
        <f t="shared" si="176"/>
        <v>19.955000000000155</v>
      </c>
      <c r="Q84" s="6">
        <f t="shared" si="162"/>
        <v>-1.8699999999998909</v>
      </c>
      <c r="R84" s="27">
        <f t="shared" si="177"/>
        <v>-4.4999999999845386E-2</v>
      </c>
      <c r="S84" s="19"/>
      <c r="T84" s="35"/>
      <c r="U84" s="19"/>
      <c r="V84" s="15">
        <f t="shared" si="178"/>
        <v>151</v>
      </c>
      <c r="W84" s="15">
        <f t="shared" si="179"/>
        <v>1520</v>
      </c>
      <c r="X84" s="19">
        <v>1518.125</v>
      </c>
      <c r="Y84" s="12">
        <f t="shared" si="180"/>
        <v>1517.405</v>
      </c>
      <c r="Z84" s="27">
        <f t="shared" si="181"/>
        <v>-2.5950000000000273</v>
      </c>
      <c r="AA84" s="30">
        <f t="shared" si="182"/>
        <v>152</v>
      </c>
      <c r="AB84" s="30">
        <v>0</v>
      </c>
      <c r="AC84" s="19">
        <v>0.71499999999999997</v>
      </c>
      <c r="AD84" s="28">
        <f t="shared" si="163"/>
        <v>1517.41</v>
      </c>
      <c r="AE84" s="29">
        <f t="shared" si="164"/>
        <v>-2.5899999999999181</v>
      </c>
      <c r="AF84" s="19"/>
      <c r="AG84" s="20">
        <f t="shared" si="165"/>
        <v>0.21000000000003638</v>
      </c>
      <c r="AI84" s="15">
        <f t="shared" si="183"/>
        <v>151</v>
      </c>
      <c r="AJ84" s="15">
        <f t="shared" si="184"/>
        <v>1520</v>
      </c>
      <c r="AK84" s="19">
        <v>1518.335</v>
      </c>
      <c r="AL84" s="12">
        <f t="shared" si="185"/>
        <v>1517.49</v>
      </c>
      <c r="AM84" s="27">
        <f t="shared" si="186"/>
        <v>-2.5099999999999909</v>
      </c>
      <c r="AN84" s="30">
        <f t="shared" si="187"/>
        <v>152</v>
      </c>
      <c r="AO84" s="30">
        <v>0</v>
      </c>
      <c r="AP84" s="19">
        <v>0.84499999999999997</v>
      </c>
      <c r="AQ84" s="28">
        <f t="shared" si="166"/>
        <v>1517.49</v>
      </c>
      <c r="AR84" s="29">
        <f t="shared" si="167"/>
        <v>-2.5099999999999909</v>
      </c>
      <c r="AT84" s="36"/>
      <c r="AU84" s="36"/>
      <c r="AW84">
        <v>1</v>
      </c>
      <c r="AX84">
        <v>-20</v>
      </c>
      <c r="AY84">
        <v>1500</v>
      </c>
      <c r="AZ84" s="19">
        <v>-19.739999999999998</v>
      </c>
      <c r="BA84" s="2">
        <f>AY85+AZ84</f>
        <v>1500.26</v>
      </c>
      <c r="BB84" s="23">
        <f>AZ84</f>
        <v>-19.739999999999998</v>
      </c>
      <c r="BC84" s="6">
        <f>AY84-BA84</f>
        <v>-0.25999999999999091</v>
      </c>
      <c r="BD84" s="12">
        <f>AX84-BB84</f>
        <v>-0.26000000000000156</v>
      </c>
      <c r="BF84" s="20">
        <f t="shared" si="168"/>
        <v>9.9999999999980105E-3</v>
      </c>
      <c r="BH84">
        <v>1</v>
      </c>
      <c r="BI84">
        <v>-20</v>
      </c>
      <c r="BJ84">
        <v>1500</v>
      </c>
      <c r="BK84" s="19">
        <v>-19.73</v>
      </c>
      <c r="BL84" s="2">
        <f>BJ85+BK84</f>
        <v>1500.27</v>
      </c>
      <c r="BM84" s="23">
        <f>BK84</f>
        <v>-19.73</v>
      </c>
      <c r="BN84" s="6">
        <f>BJ84-BL84</f>
        <v>-0.26999999999998181</v>
      </c>
      <c r="BO84" s="12">
        <f>BI84-BM84</f>
        <v>-0.26999999999999957</v>
      </c>
      <c r="BP84" s="10"/>
      <c r="BQ84" s="35"/>
      <c r="BR84" s="8"/>
      <c r="BS84" s="15">
        <v>1</v>
      </c>
      <c r="BT84" s="15">
        <v>1500</v>
      </c>
      <c r="BU84" s="19">
        <v>-19.73</v>
      </c>
      <c r="BV84" s="12">
        <f>BT85+BU84</f>
        <v>1500.27</v>
      </c>
      <c r="BW84" s="12">
        <f t="shared" ref="BW84" si="197">1520-BV84</f>
        <v>19.730000000000018</v>
      </c>
      <c r="BX84" s="12">
        <v>-20</v>
      </c>
      <c r="BY84" s="27">
        <f>BT84-BV84</f>
        <v>-0.26999999999998181</v>
      </c>
      <c r="BZ84" s="30">
        <v>2</v>
      </c>
      <c r="CA84" s="30">
        <v>0</v>
      </c>
      <c r="CB84">
        <v>-0.39</v>
      </c>
      <c r="CC84" s="40">
        <f>CB84-BU84</f>
        <v>19.34</v>
      </c>
      <c r="CD84" s="40">
        <f>CC84-CE84</f>
        <v>-0.66000000000000014</v>
      </c>
      <c r="CE84" s="40">
        <v>20</v>
      </c>
      <c r="CF84" s="6"/>
      <c r="CG84" s="20">
        <f t="shared" si="169"/>
        <v>-1.5000000000000568E-2</v>
      </c>
      <c r="CH84" s="10"/>
      <c r="CI84" s="15">
        <v>1</v>
      </c>
      <c r="CJ84" s="15">
        <v>1500</v>
      </c>
      <c r="CK84" s="19">
        <v>-19.715</v>
      </c>
      <c r="CL84" s="12">
        <f>CJ85+CK84</f>
        <v>1500.2850000000001</v>
      </c>
      <c r="CM84" s="12">
        <f t="shared" ref="CM84" si="198">1520-CL84</f>
        <v>19.714999999999918</v>
      </c>
      <c r="CN84" s="12">
        <v>-20</v>
      </c>
      <c r="CO84" s="27">
        <f>CJ84-CL84</f>
        <v>-0.28500000000008185</v>
      </c>
      <c r="CP84" s="30">
        <v>2</v>
      </c>
      <c r="CQ84" s="30">
        <v>0</v>
      </c>
      <c r="CR84">
        <v>-0.41</v>
      </c>
      <c r="CS84" s="40">
        <f>CR84-CK84</f>
        <v>19.305</v>
      </c>
      <c r="CT84" s="40">
        <f>CS84-CU84</f>
        <v>-0.69500000000000028</v>
      </c>
      <c r="CU84" s="40">
        <v>20</v>
      </c>
      <c r="DB84" s="19"/>
      <c r="DC84" s="2"/>
      <c r="DD84" s="2"/>
      <c r="DE84" s="6"/>
      <c r="DF84" s="2"/>
      <c r="DG84" s="10"/>
    </row>
    <row r="85" spans="2:111" x14ac:dyDescent="0.45">
      <c r="E85" s="4"/>
      <c r="F85" s="4"/>
      <c r="G85" s="2"/>
      <c r="H85" s="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X85" t="s">
        <v>23</v>
      </c>
      <c r="AY85">
        <v>1520</v>
      </c>
      <c r="BI85" t="s">
        <v>23</v>
      </c>
      <c r="BJ85">
        <v>1520</v>
      </c>
      <c r="BS85" s="33" t="s">
        <v>33</v>
      </c>
      <c r="BT85" s="15">
        <v>1520</v>
      </c>
      <c r="BU85" s="41" t="s">
        <v>21</v>
      </c>
      <c r="BV85" s="42" t="s">
        <v>20</v>
      </c>
      <c r="BW85" s="42" t="s">
        <v>27</v>
      </c>
      <c r="BX85" s="42" t="s">
        <v>43</v>
      </c>
      <c r="BY85" s="51" t="s">
        <v>32</v>
      </c>
      <c r="BZ85" s="38" t="s">
        <v>1</v>
      </c>
      <c r="CA85" s="52" t="s">
        <v>12</v>
      </c>
      <c r="CB85" s="41" t="s">
        <v>21</v>
      </c>
      <c r="CC85" s="39"/>
      <c r="CD85" s="49" t="s">
        <v>32</v>
      </c>
      <c r="CE85" s="50" t="s">
        <v>43</v>
      </c>
      <c r="CF85" s="6"/>
      <c r="CG85" s="2"/>
      <c r="CH85" s="10"/>
      <c r="CI85" s="33" t="s">
        <v>33</v>
      </c>
      <c r="CJ85" s="15">
        <v>1520</v>
      </c>
      <c r="CK85" s="41" t="s">
        <v>21</v>
      </c>
      <c r="CL85" s="42" t="s">
        <v>20</v>
      </c>
      <c r="CM85" s="42" t="s">
        <v>27</v>
      </c>
      <c r="CN85" s="42" t="s">
        <v>43</v>
      </c>
      <c r="CO85" s="51" t="s">
        <v>32</v>
      </c>
      <c r="CP85" s="38" t="s">
        <v>1</v>
      </c>
      <c r="CQ85" s="52" t="s">
        <v>12</v>
      </c>
      <c r="CR85" s="41" t="s">
        <v>21</v>
      </c>
      <c r="CS85" s="39"/>
      <c r="CT85" s="49" t="s">
        <v>32</v>
      </c>
      <c r="CU85" s="50" t="s">
        <v>43</v>
      </c>
      <c r="DB85" s="19"/>
      <c r="DC85" s="2"/>
      <c r="DD85" s="2"/>
      <c r="DE85" s="6"/>
      <c r="DF85" s="2"/>
      <c r="DG85" s="10"/>
    </row>
    <row r="86" spans="2:111" x14ac:dyDescent="0.45">
      <c r="G86" s="2"/>
      <c r="H86" s="2"/>
      <c r="BS86" s="15"/>
      <c r="BT86" s="15" t="s">
        <v>23</v>
      </c>
      <c r="BU86" s="41"/>
      <c r="BV86" s="42"/>
      <c r="BW86" s="42"/>
      <c r="BX86" s="42"/>
      <c r="BY86" s="51"/>
      <c r="BZ86" s="31"/>
      <c r="CA86" s="52"/>
      <c r="CB86" s="41"/>
      <c r="CC86" s="39" t="s">
        <v>27</v>
      </c>
      <c r="CD86" s="49"/>
      <c r="CE86" s="50"/>
      <c r="CI86" s="15"/>
      <c r="CJ86" s="15" t="s">
        <v>23</v>
      </c>
      <c r="CK86" s="41"/>
      <c r="CL86" s="42"/>
      <c r="CM86" s="42"/>
      <c r="CN86" s="42"/>
      <c r="CO86" s="51"/>
      <c r="CP86" s="31"/>
      <c r="CQ86" s="52"/>
      <c r="CR86" s="41"/>
      <c r="CS86" s="39" t="s">
        <v>27</v>
      </c>
      <c r="CT86" s="49"/>
      <c r="CU86" s="50"/>
    </row>
    <row r="87" spans="2:111" x14ac:dyDescent="0.45">
      <c r="G87" s="2"/>
      <c r="H87" s="2"/>
    </row>
    <row r="88" spans="2:111" x14ac:dyDescent="0.45">
      <c r="G88" s="2"/>
      <c r="H88" s="2"/>
    </row>
    <row r="90" spans="2:111" x14ac:dyDescent="0.45">
      <c r="CP90" t="s">
        <v>46</v>
      </c>
      <c r="CT90" s="2"/>
      <c r="CU90" s="2"/>
    </row>
    <row r="91" spans="2:111" x14ac:dyDescent="0.45">
      <c r="CP91" t="s">
        <v>47</v>
      </c>
      <c r="CU91" s="2"/>
    </row>
    <row r="92" spans="2:111" x14ac:dyDescent="0.45">
      <c r="CP92">
        <v>-1518.26</v>
      </c>
      <c r="CR92" t="s">
        <v>25</v>
      </c>
      <c r="CS92">
        <v>-0.72</v>
      </c>
      <c r="CT92" t="s">
        <v>24</v>
      </c>
      <c r="CU92" s="2"/>
    </row>
    <row r="93" spans="2:111" x14ac:dyDescent="0.45">
      <c r="CP93">
        <v>-1518.27</v>
      </c>
      <c r="CS93">
        <v>-0.71499999999999997</v>
      </c>
      <c r="CU93" s="2"/>
    </row>
    <row r="94" spans="2:111" x14ac:dyDescent="0.45">
      <c r="CS94">
        <v>-0.72499999999999998</v>
      </c>
      <c r="CU94" s="2"/>
    </row>
    <row r="95" spans="2:111" x14ac:dyDescent="0.45">
      <c r="CU95" s="2"/>
    </row>
    <row r="96" spans="2:111" x14ac:dyDescent="0.45">
      <c r="CP96" t="s">
        <v>45</v>
      </c>
      <c r="CU96" s="2"/>
    </row>
    <row r="97" spans="94:99" x14ac:dyDescent="0.45">
      <c r="CP97" s="1" t="s">
        <v>44</v>
      </c>
      <c r="CR97" s="1" t="s">
        <v>26</v>
      </c>
      <c r="CU97" s="2"/>
    </row>
    <row r="98" spans="94:99" x14ac:dyDescent="0.45">
      <c r="CP98">
        <v>0.27</v>
      </c>
      <c r="CR98">
        <v>0.31</v>
      </c>
      <c r="CU98" s="2"/>
    </row>
    <row r="99" spans="94:99" x14ac:dyDescent="0.45">
      <c r="CP99">
        <v>0.31</v>
      </c>
      <c r="CR99">
        <v>0.27</v>
      </c>
      <c r="CU99" s="2"/>
    </row>
    <row r="100" spans="94:99" x14ac:dyDescent="0.45">
      <c r="CP100">
        <v>0.33</v>
      </c>
      <c r="CR100">
        <v>0.32</v>
      </c>
    </row>
  </sheetData>
  <mergeCells count="73">
    <mergeCell ref="BD7:BD8"/>
    <mergeCell ref="BC7:BC8"/>
    <mergeCell ref="AW4:BD5"/>
    <mergeCell ref="AZ7:AZ8"/>
    <mergeCell ref="BA7:BA8"/>
    <mergeCell ref="BB7:BB8"/>
    <mergeCell ref="B4:H5"/>
    <mergeCell ref="R7:R8"/>
    <mergeCell ref="N7:N8"/>
    <mergeCell ref="L4:R5"/>
    <mergeCell ref="AY7:AY8"/>
    <mergeCell ref="V4:AE5"/>
    <mergeCell ref="AG7:AG8"/>
    <mergeCell ref="AB7:AB8"/>
    <mergeCell ref="Z7:Z8"/>
    <mergeCell ref="W7:W8"/>
    <mergeCell ref="AE7:AE8"/>
    <mergeCell ref="AI4:AR5"/>
    <mergeCell ref="AJ7:AJ8"/>
    <mergeCell ref="AM7:AM8"/>
    <mergeCell ref="AO7:AO8"/>
    <mergeCell ref="AR7:AR8"/>
    <mergeCell ref="D7:D8"/>
    <mergeCell ref="G7:G8"/>
    <mergeCell ref="H7:H8"/>
    <mergeCell ref="Q7:Q8"/>
    <mergeCell ref="BH4:BO5"/>
    <mergeCell ref="BJ7:BJ8"/>
    <mergeCell ref="BL7:BL8"/>
    <mergeCell ref="BM7:BM8"/>
    <mergeCell ref="BU7:BU8"/>
    <mergeCell ref="BT7:BT8"/>
    <mergeCell ref="BS4:CE5"/>
    <mergeCell ref="BK7:BK8"/>
    <mergeCell ref="BN7:BN8"/>
    <mergeCell ref="BO7:BO8"/>
    <mergeCell ref="CD7:CD8"/>
    <mergeCell ref="BU85:BU86"/>
    <mergeCell ref="BV85:BV86"/>
    <mergeCell ref="BW85:BW86"/>
    <mergeCell ref="BY85:BY86"/>
    <mergeCell ref="CA85:CA86"/>
    <mergeCell ref="CB85:CB86"/>
    <mergeCell ref="CD85:CD86"/>
    <mergeCell ref="BX85:BX86"/>
    <mergeCell ref="CA7:CA8"/>
    <mergeCell ref="BV7:BV8"/>
    <mergeCell ref="BW7:BW8"/>
    <mergeCell ref="BY7:BY8"/>
    <mergeCell ref="CB7:CB8"/>
    <mergeCell ref="CE85:CE86"/>
    <mergeCell ref="CE7:CE8"/>
    <mergeCell ref="BX7:BX8"/>
    <mergeCell ref="CI4:CU5"/>
    <mergeCell ref="CJ7:CJ8"/>
    <mergeCell ref="CK7:CK8"/>
    <mergeCell ref="CL7:CL8"/>
    <mergeCell ref="CM7:CM8"/>
    <mergeCell ref="CN7:CN8"/>
    <mergeCell ref="CO7:CO8"/>
    <mergeCell ref="CQ7:CQ8"/>
    <mergeCell ref="CR7:CR8"/>
    <mergeCell ref="CT7:CT8"/>
    <mergeCell ref="CU7:CU8"/>
    <mergeCell ref="CK85:CK86"/>
    <mergeCell ref="CL85:CL86"/>
    <mergeCell ref="CT85:CT86"/>
    <mergeCell ref="CU85:CU86"/>
    <mergeCell ref="CM85:CM86"/>
    <mergeCell ref="CN85:CN86"/>
    <mergeCell ref="CO85:CO86"/>
    <mergeCell ref="CQ85:CQ86"/>
    <mergeCell ref="CR85:CR8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88"/>
  <sheetViews>
    <sheetView tabSelected="1" topLeftCell="H19" workbookViewId="0">
      <selection activeCell="I32" sqref="I32"/>
    </sheetView>
  </sheetViews>
  <sheetFormatPr defaultRowHeight="14.25" x14ac:dyDescent="0.45"/>
  <cols>
    <col min="83" max="83" width="11.796875" bestFit="1" customWidth="1"/>
    <col min="116" max="116" width="10.796875" bestFit="1" customWidth="1"/>
  </cols>
  <sheetData>
    <row r="1" spans="1:109" x14ac:dyDescent="0.45">
      <c r="A1" t="s">
        <v>39</v>
      </c>
      <c r="BD1" s="36"/>
      <c r="BE1" t="s">
        <v>41</v>
      </c>
    </row>
    <row r="2" spans="1:109" x14ac:dyDescent="0.45">
      <c r="A2" t="s">
        <v>40</v>
      </c>
      <c r="BD2" s="36"/>
      <c r="BE2" t="s">
        <v>42</v>
      </c>
    </row>
    <row r="3" spans="1:109" ht="14.65" thickBot="1" x14ac:dyDescent="0.5">
      <c r="BD3" s="36"/>
    </row>
    <row r="4" spans="1:109" x14ac:dyDescent="0.45">
      <c r="B4" s="43" t="s">
        <v>29</v>
      </c>
      <c r="C4" s="44"/>
      <c r="D4" s="44"/>
      <c r="E4" s="44"/>
      <c r="F4" s="44"/>
      <c r="G4" s="44"/>
      <c r="H4" s="45"/>
      <c r="J4" s="5"/>
      <c r="L4" s="43" t="s">
        <v>30</v>
      </c>
      <c r="M4" s="44"/>
      <c r="N4" s="44"/>
      <c r="O4" s="44"/>
      <c r="P4" s="44"/>
      <c r="Q4" s="44"/>
      <c r="R4" s="45"/>
      <c r="S4" s="13"/>
      <c r="T4" s="5"/>
      <c r="V4" s="43" t="s">
        <v>48</v>
      </c>
      <c r="W4" s="44"/>
      <c r="X4" s="44"/>
      <c r="Y4" s="44"/>
      <c r="Z4" s="44"/>
      <c r="AA4" s="44"/>
      <c r="AB4" s="45"/>
      <c r="AC4" s="13"/>
      <c r="AD4" s="5"/>
      <c r="AF4" s="43" t="s">
        <v>49</v>
      </c>
      <c r="AG4" s="44"/>
      <c r="AH4" s="44"/>
      <c r="AI4" s="44"/>
      <c r="AJ4" s="44"/>
      <c r="AK4" s="44"/>
      <c r="AL4" s="45"/>
      <c r="AM4" s="13"/>
      <c r="AN4" s="5"/>
      <c r="AP4" s="43" t="s">
        <v>50</v>
      </c>
      <c r="AQ4" s="44"/>
      <c r="AR4" s="44"/>
      <c r="AS4" s="44"/>
      <c r="AT4" s="44"/>
      <c r="AU4" s="44"/>
      <c r="AV4" s="45"/>
      <c r="AW4" s="13"/>
      <c r="AX4" s="13"/>
      <c r="AY4" s="13"/>
      <c r="AZ4" s="13"/>
      <c r="BA4" s="13"/>
      <c r="BB4" s="13"/>
      <c r="BC4" s="13"/>
      <c r="BD4" s="36"/>
      <c r="BF4" s="43" t="s">
        <v>19</v>
      </c>
      <c r="BG4" s="44"/>
      <c r="BH4" s="44"/>
      <c r="BI4" s="44"/>
      <c r="BJ4" s="44"/>
      <c r="BK4" s="44"/>
      <c r="BL4" s="44"/>
      <c r="BM4" s="45"/>
      <c r="BO4" s="5"/>
      <c r="BQ4" s="43" t="s">
        <v>36</v>
      </c>
      <c r="BR4" s="44"/>
      <c r="BS4" s="44"/>
      <c r="BT4" s="44"/>
      <c r="BU4" s="44"/>
      <c r="BV4" s="44"/>
      <c r="BW4" s="44"/>
      <c r="BX4" s="45"/>
      <c r="BY4" s="13"/>
      <c r="BZ4" s="5"/>
      <c r="CB4" s="43" t="s">
        <v>52</v>
      </c>
      <c r="CC4" s="44"/>
      <c r="CD4" s="44"/>
      <c r="CE4" s="44"/>
      <c r="CF4" s="44"/>
      <c r="CG4" s="44"/>
      <c r="CH4" s="44"/>
      <c r="CI4" s="45"/>
      <c r="CK4" s="5"/>
      <c r="CM4" s="43" t="s">
        <v>53</v>
      </c>
      <c r="CN4" s="44"/>
      <c r="CO4" s="44"/>
      <c r="CP4" s="44"/>
      <c r="CQ4" s="44"/>
      <c r="CR4" s="44"/>
      <c r="CS4" s="44"/>
      <c r="CT4" s="45"/>
      <c r="CV4" s="5"/>
      <c r="CX4" s="43" t="s">
        <v>54</v>
      </c>
      <c r="CY4" s="44"/>
      <c r="CZ4" s="44"/>
      <c r="DA4" s="44"/>
      <c r="DB4" s="44"/>
      <c r="DC4" s="44"/>
      <c r="DD4" s="44"/>
      <c r="DE4" s="45"/>
    </row>
    <row r="5" spans="1:109" ht="14.65" thickBot="1" x14ac:dyDescent="0.5">
      <c r="B5" s="46"/>
      <c r="C5" s="47"/>
      <c r="D5" s="47"/>
      <c r="E5" s="47"/>
      <c r="F5" s="47"/>
      <c r="G5" s="47"/>
      <c r="H5" s="48"/>
      <c r="J5" s="5"/>
      <c r="L5" s="46"/>
      <c r="M5" s="47"/>
      <c r="N5" s="47"/>
      <c r="O5" s="47"/>
      <c r="P5" s="47"/>
      <c r="Q5" s="47"/>
      <c r="R5" s="48"/>
      <c r="S5" s="13"/>
      <c r="T5" s="5"/>
      <c r="V5" s="46"/>
      <c r="W5" s="47"/>
      <c r="X5" s="47"/>
      <c r="Y5" s="47"/>
      <c r="Z5" s="47"/>
      <c r="AA5" s="47"/>
      <c r="AB5" s="48"/>
      <c r="AC5" s="13"/>
      <c r="AD5" s="5"/>
      <c r="AF5" s="46"/>
      <c r="AG5" s="47"/>
      <c r="AH5" s="47"/>
      <c r="AI5" s="47"/>
      <c r="AJ5" s="47"/>
      <c r="AK5" s="47"/>
      <c r="AL5" s="48"/>
      <c r="AM5" s="13"/>
      <c r="AN5" s="5"/>
      <c r="AP5" s="46"/>
      <c r="AQ5" s="47"/>
      <c r="AR5" s="47"/>
      <c r="AS5" s="47"/>
      <c r="AT5" s="47"/>
      <c r="AU5" s="47"/>
      <c r="AV5" s="48"/>
      <c r="AW5" s="13"/>
      <c r="AX5" s="13"/>
      <c r="AY5" s="13"/>
      <c r="AZ5" s="13"/>
      <c r="BA5" s="13"/>
      <c r="BB5" s="13"/>
      <c r="BC5" s="13"/>
      <c r="BD5" s="36"/>
      <c r="BF5" s="46"/>
      <c r="BG5" s="47"/>
      <c r="BH5" s="47"/>
      <c r="BI5" s="47"/>
      <c r="BJ5" s="47"/>
      <c r="BK5" s="47"/>
      <c r="BL5" s="47"/>
      <c r="BM5" s="48"/>
      <c r="BO5" s="5"/>
      <c r="BQ5" s="46"/>
      <c r="BR5" s="47"/>
      <c r="BS5" s="47"/>
      <c r="BT5" s="47"/>
      <c r="BU5" s="47"/>
      <c r="BV5" s="47"/>
      <c r="BW5" s="47"/>
      <c r="BX5" s="48"/>
      <c r="BY5" s="13"/>
      <c r="BZ5" s="5"/>
      <c r="CB5" s="46"/>
      <c r="CC5" s="47"/>
      <c r="CD5" s="47"/>
      <c r="CE5" s="47"/>
      <c r="CF5" s="47"/>
      <c r="CG5" s="47"/>
      <c r="CH5" s="47"/>
      <c r="CI5" s="48"/>
      <c r="CK5" s="5"/>
      <c r="CM5" s="46"/>
      <c r="CN5" s="47"/>
      <c r="CO5" s="47"/>
      <c r="CP5" s="47"/>
      <c r="CQ5" s="47"/>
      <c r="CR5" s="47"/>
      <c r="CS5" s="47"/>
      <c r="CT5" s="48"/>
      <c r="CV5" s="5"/>
      <c r="CX5" s="46"/>
      <c r="CY5" s="47"/>
      <c r="CZ5" s="47"/>
      <c r="DA5" s="47"/>
      <c r="DB5" s="47"/>
      <c r="DC5" s="47"/>
      <c r="DD5" s="47"/>
      <c r="DE5" s="48"/>
    </row>
    <row r="6" spans="1:109" x14ac:dyDescent="0.45">
      <c r="J6" s="5"/>
      <c r="T6" s="5"/>
      <c r="AD6" s="5"/>
      <c r="AN6" s="5"/>
      <c r="AY6" s="56" t="s">
        <v>51</v>
      </c>
      <c r="AZ6" s="56"/>
      <c r="BA6" s="56"/>
      <c r="BB6" s="56"/>
      <c r="BD6" s="36"/>
      <c r="BO6" s="5"/>
      <c r="BZ6" s="5"/>
      <c r="CK6" s="5"/>
      <c r="CV6" s="5"/>
    </row>
    <row r="7" spans="1:109" ht="14.25" customHeight="1" x14ac:dyDescent="0.45">
      <c r="C7" s="1" t="s">
        <v>1</v>
      </c>
      <c r="D7" s="41" t="s">
        <v>12</v>
      </c>
      <c r="F7" t="s">
        <v>28</v>
      </c>
      <c r="G7" s="41" t="s">
        <v>13</v>
      </c>
      <c r="H7" s="42" t="s">
        <v>14</v>
      </c>
      <c r="J7" s="5" t="s">
        <v>31</v>
      </c>
      <c r="M7" s="1" t="s">
        <v>1</v>
      </c>
      <c r="N7" s="41" t="s">
        <v>12</v>
      </c>
      <c r="P7" t="s">
        <v>28</v>
      </c>
      <c r="Q7" s="54" t="s">
        <v>13</v>
      </c>
      <c r="R7" s="51" t="s">
        <v>14</v>
      </c>
      <c r="S7" s="26"/>
      <c r="T7" s="5" t="s">
        <v>31</v>
      </c>
      <c r="W7" s="1" t="s">
        <v>1</v>
      </c>
      <c r="X7" s="41" t="s">
        <v>12</v>
      </c>
      <c r="Z7" t="s">
        <v>28</v>
      </c>
      <c r="AA7" s="54" t="s">
        <v>13</v>
      </c>
      <c r="AB7" s="51" t="s">
        <v>14</v>
      </c>
      <c r="AC7" s="26"/>
      <c r="AD7" s="5" t="s">
        <v>31</v>
      </c>
      <c r="AG7" s="1" t="s">
        <v>1</v>
      </c>
      <c r="AH7" s="41" t="s">
        <v>12</v>
      </c>
      <c r="AJ7" t="s">
        <v>28</v>
      </c>
      <c r="AK7" s="54" t="s">
        <v>13</v>
      </c>
      <c r="AL7" s="51" t="s">
        <v>14</v>
      </c>
      <c r="AM7" s="26"/>
      <c r="AN7" s="5" t="s">
        <v>31</v>
      </c>
      <c r="AQ7" s="1" t="s">
        <v>1</v>
      </c>
      <c r="AR7" s="41" t="s">
        <v>12</v>
      </c>
      <c r="AT7" t="s">
        <v>28</v>
      </c>
      <c r="AU7" s="54" t="s">
        <v>13</v>
      </c>
      <c r="AV7" s="51" t="s">
        <v>14</v>
      </c>
      <c r="AW7" s="26"/>
      <c r="AX7" s="26"/>
      <c r="AZ7" t="s">
        <v>28</v>
      </c>
      <c r="BA7" s="54" t="s">
        <v>13</v>
      </c>
      <c r="BB7" s="51" t="s">
        <v>14</v>
      </c>
      <c r="BC7" s="26"/>
      <c r="BD7" s="37"/>
      <c r="BE7" s="25"/>
      <c r="BG7" s="1" t="s">
        <v>1</v>
      </c>
      <c r="BH7" s="41" t="s">
        <v>12</v>
      </c>
      <c r="BI7" s="41" t="s">
        <v>21</v>
      </c>
      <c r="BJ7" s="41" t="s">
        <v>20</v>
      </c>
      <c r="BK7" s="41" t="s">
        <v>22</v>
      </c>
      <c r="BL7" s="41" t="s">
        <v>13</v>
      </c>
      <c r="BM7" s="42" t="s">
        <v>14</v>
      </c>
      <c r="BN7" s="25"/>
      <c r="BO7" s="5" t="s">
        <v>31</v>
      </c>
      <c r="BP7" s="25"/>
      <c r="BR7" s="1" t="s">
        <v>1</v>
      </c>
      <c r="BS7" s="41" t="s">
        <v>12</v>
      </c>
      <c r="BT7" s="41" t="s">
        <v>21</v>
      </c>
      <c r="BU7" s="41" t="s">
        <v>20</v>
      </c>
      <c r="BV7" s="41" t="s">
        <v>22</v>
      </c>
      <c r="BW7" s="41" t="s">
        <v>13</v>
      </c>
      <c r="BX7" s="42" t="s">
        <v>14</v>
      </c>
      <c r="BY7" s="24"/>
      <c r="BZ7" s="5" t="s">
        <v>31</v>
      </c>
      <c r="CA7" s="25"/>
      <c r="CC7" s="1" t="s">
        <v>1</v>
      </c>
      <c r="CD7" s="41" t="s">
        <v>12</v>
      </c>
      <c r="CE7" s="41" t="s">
        <v>21</v>
      </c>
      <c r="CF7" s="41" t="s">
        <v>20</v>
      </c>
      <c r="CG7" s="41" t="s">
        <v>22</v>
      </c>
      <c r="CH7" s="41" t="s">
        <v>13</v>
      </c>
      <c r="CI7" s="42" t="s">
        <v>14</v>
      </c>
      <c r="CK7" s="5" t="s">
        <v>31</v>
      </c>
      <c r="CL7" s="25"/>
      <c r="CN7" s="1" t="s">
        <v>1</v>
      </c>
      <c r="CO7" s="41" t="s">
        <v>12</v>
      </c>
      <c r="CP7" s="41" t="s">
        <v>21</v>
      </c>
      <c r="CQ7" s="41" t="s">
        <v>20</v>
      </c>
      <c r="CR7" s="41" t="s">
        <v>22</v>
      </c>
      <c r="CS7" s="41" t="s">
        <v>13</v>
      </c>
      <c r="CT7" s="42" t="s">
        <v>14</v>
      </c>
      <c r="CV7" s="5" t="s">
        <v>31</v>
      </c>
      <c r="CW7" s="25"/>
      <c r="CY7" s="1" t="s">
        <v>1</v>
      </c>
      <c r="CZ7" s="41" t="s">
        <v>12</v>
      </c>
      <c r="DA7" s="41" t="s">
        <v>21</v>
      </c>
      <c r="DB7" s="41" t="s">
        <v>20</v>
      </c>
      <c r="DC7" s="41" t="s">
        <v>22</v>
      </c>
      <c r="DD7" s="41" t="s">
        <v>13</v>
      </c>
      <c r="DE7" s="42" t="s">
        <v>14</v>
      </c>
    </row>
    <row r="8" spans="1:109" ht="14.25" customHeight="1" x14ac:dyDescent="0.45">
      <c r="C8" t="s">
        <v>11</v>
      </c>
      <c r="D8" s="41"/>
      <c r="E8" t="s">
        <v>0</v>
      </c>
      <c r="F8" t="s">
        <v>27</v>
      </c>
      <c r="G8" s="41"/>
      <c r="H8" s="42"/>
      <c r="J8" s="5"/>
      <c r="M8" t="s">
        <v>11</v>
      </c>
      <c r="N8" s="41"/>
      <c r="O8" t="s">
        <v>0</v>
      </c>
      <c r="P8" t="s">
        <v>27</v>
      </c>
      <c r="Q8" s="54"/>
      <c r="R8" s="51"/>
      <c r="S8" s="26"/>
      <c r="T8" s="5"/>
      <c r="W8" t="s">
        <v>11</v>
      </c>
      <c r="X8" s="41"/>
      <c r="Y8" t="s">
        <v>0</v>
      </c>
      <c r="Z8" t="s">
        <v>27</v>
      </c>
      <c r="AA8" s="54"/>
      <c r="AB8" s="51"/>
      <c r="AC8" s="26"/>
      <c r="AD8" s="5"/>
      <c r="AG8" t="s">
        <v>11</v>
      </c>
      <c r="AH8" s="41"/>
      <c r="AI8" t="s">
        <v>0</v>
      </c>
      <c r="AJ8" t="s">
        <v>27</v>
      </c>
      <c r="AK8" s="54"/>
      <c r="AL8" s="51"/>
      <c r="AM8" s="26"/>
      <c r="AN8" s="5"/>
      <c r="AQ8" t="s">
        <v>11</v>
      </c>
      <c r="AR8" s="41"/>
      <c r="AS8" t="s">
        <v>0</v>
      </c>
      <c r="AT8" t="s">
        <v>27</v>
      </c>
      <c r="AU8" s="54"/>
      <c r="AV8" s="51"/>
      <c r="AW8" s="26"/>
      <c r="AX8" s="26"/>
      <c r="AY8" t="s">
        <v>0</v>
      </c>
      <c r="AZ8" t="s">
        <v>27</v>
      </c>
      <c r="BA8" s="54"/>
      <c r="BB8" s="51"/>
      <c r="BC8" s="26"/>
      <c r="BD8" s="37"/>
      <c r="BE8" s="25"/>
      <c r="BG8" t="s">
        <v>11</v>
      </c>
      <c r="BH8" s="41"/>
      <c r="BI8" s="41"/>
      <c r="BJ8" s="41"/>
      <c r="BK8" s="41"/>
      <c r="BL8" s="41"/>
      <c r="BM8" s="42"/>
      <c r="BN8" s="25"/>
      <c r="BO8" s="5"/>
      <c r="BP8" s="25"/>
      <c r="BR8" t="s">
        <v>11</v>
      </c>
      <c r="BS8" s="41"/>
      <c r="BT8" s="41"/>
      <c r="BU8" s="41"/>
      <c r="BV8" s="41"/>
      <c r="BW8" s="41"/>
      <c r="BX8" s="42"/>
      <c r="BY8" s="24"/>
      <c r="BZ8" s="5"/>
      <c r="CA8" s="25"/>
      <c r="CC8" t="s">
        <v>11</v>
      </c>
      <c r="CD8" s="41"/>
      <c r="CE8" s="41"/>
      <c r="CF8" s="41"/>
      <c r="CG8" s="41"/>
      <c r="CH8" s="41"/>
      <c r="CI8" s="42"/>
      <c r="CK8" s="5"/>
      <c r="CL8" s="25"/>
      <c r="CN8" t="s">
        <v>11</v>
      </c>
      <c r="CO8" s="41"/>
      <c r="CP8" s="41"/>
      <c r="CQ8" s="41"/>
      <c r="CR8" s="41"/>
      <c r="CS8" s="41"/>
      <c r="CT8" s="42"/>
      <c r="CV8" s="5"/>
      <c r="CW8" s="25"/>
      <c r="CY8" t="s">
        <v>11</v>
      </c>
      <c r="CZ8" s="41"/>
      <c r="DA8" s="41"/>
      <c r="DB8" s="41"/>
      <c r="DC8" s="41"/>
      <c r="DD8" s="41"/>
      <c r="DE8" s="42"/>
    </row>
    <row r="9" spans="1:109" x14ac:dyDescent="0.45">
      <c r="B9">
        <v>1</v>
      </c>
      <c r="C9">
        <v>20</v>
      </c>
      <c r="D9">
        <v>20</v>
      </c>
      <c r="E9" s="2">
        <v>20.344999999999999</v>
      </c>
      <c r="F9" s="23">
        <f>E9-0</f>
        <v>20.344999999999999</v>
      </c>
      <c r="G9" s="6">
        <f>E9-D9</f>
        <v>0.34499999999999886</v>
      </c>
      <c r="H9" s="12">
        <f>G9</f>
        <v>0.34499999999999886</v>
      </c>
      <c r="J9" s="20">
        <f t="shared" ref="J9:J72" si="0">R9-H9</f>
        <v>-4.9999999999990052E-3</v>
      </c>
      <c r="K9" s="2"/>
      <c r="L9">
        <v>1</v>
      </c>
      <c r="M9">
        <v>20</v>
      </c>
      <c r="N9">
        <v>20</v>
      </c>
      <c r="O9" s="2">
        <v>20.34</v>
      </c>
      <c r="P9" s="23">
        <f>O9-0</f>
        <v>20.34</v>
      </c>
      <c r="Q9" s="6">
        <f>O9-N9</f>
        <v>0.33999999999999986</v>
      </c>
      <c r="R9" s="27">
        <f>Q9</f>
        <v>0.33999999999999986</v>
      </c>
      <c r="S9" s="27"/>
      <c r="T9" s="20">
        <f t="shared" ref="T9:T72" si="1">AB9-R9</f>
        <v>-4.9999999999990052E-3</v>
      </c>
      <c r="U9" s="2"/>
      <c r="V9">
        <v>1</v>
      </c>
      <c r="W9">
        <v>20</v>
      </c>
      <c r="X9">
        <v>20</v>
      </c>
      <c r="Y9" s="2">
        <v>20.335000000000001</v>
      </c>
      <c r="Z9" s="23">
        <f>Y9-0</f>
        <v>20.335000000000001</v>
      </c>
      <c r="AA9" s="6">
        <f>Y9-X9</f>
        <v>0.33500000000000085</v>
      </c>
      <c r="AB9" s="27">
        <f>AA9</f>
        <v>0.33500000000000085</v>
      </c>
      <c r="AC9" s="27"/>
      <c r="AD9" s="20">
        <f t="shared" ref="AD9:AD72" si="2">AL9-AB9</f>
        <v>-5.000000000002558E-3</v>
      </c>
      <c r="AE9" s="2"/>
      <c r="AF9">
        <v>1</v>
      </c>
      <c r="AG9">
        <v>20</v>
      </c>
      <c r="AH9">
        <v>20</v>
      </c>
      <c r="AI9" s="2">
        <v>20.329999999999998</v>
      </c>
      <c r="AJ9" s="23">
        <f>AI9-0</f>
        <v>20.329999999999998</v>
      </c>
      <c r="AK9" s="6">
        <f>AI9-AH9</f>
        <v>0.32999999999999829</v>
      </c>
      <c r="AL9" s="27">
        <f>AK9</f>
        <v>0.32999999999999829</v>
      </c>
      <c r="AM9" s="27"/>
      <c r="AN9" s="20">
        <f t="shared" ref="AN9:AN72" si="3">AV9-AL9</f>
        <v>0</v>
      </c>
      <c r="AO9" s="2"/>
      <c r="AP9">
        <v>1</v>
      </c>
      <c r="AQ9">
        <v>20</v>
      </c>
      <c r="AR9">
        <v>20</v>
      </c>
      <c r="AS9" s="2">
        <v>20.329999999999998</v>
      </c>
      <c r="AT9" s="23">
        <f>AS9-0</f>
        <v>20.329999999999998</v>
      </c>
      <c r="AU9" s="6">
        <f>AS9-AR9</f>
        <v>0.32999999999999829</v>
      </c>
      <c r="AV9" s="27">
        <f>AU9</f>
        <v>0.32999999999999829</v>
      </c>
      <c r="AW9" s="27"/>
      <c r="AX9" s="27"/>
      <c r="AY9" s="2">
        <f>(E9+O9+Y9+AI9+AS9)/5</f>
        <v>20.335999999999999</v>
      </c>
      <c r="AZ9" s="23">
        <f>(F9+P9+Z9+AJ9+AT9)/5</f>
        <v>20.335999999999999</v>
      </c>
      <c r="BA9" s="6">
        <f>(G9+Q9+AA9+AK9+AU9)/5</f>
        <v>0.33599999999999924</v>
      </c>
      <c r="BB9" s="27">
        <f>(H9+R9+AB9+AL9+AV9)/5</f>
        <v>0.33599999999999924</v>
      </c>
      <c r="BC9" s="27"/>
      <c r="BD9" s="36"/>
      <c r="BF9">
        <f t="shared" ref="BF9:BF72" si="4">BF10+1</f>
        <v>76</v>
      </c>
      <c r="BG9">
        <f t="shared" ref="BG9:BG72" si="5">BG10</f>
        <v>-20</v>
      </c>
      <c r="BH9">
        <f t="shared" ref="BH9:BH72" si="6">BH10+BG9</f>
        <v>0</v>
      </c>
      <c r="BI9" s="2">
        <v>-1519.29</v>
      </c>
      <c r="BJ9" s="2">
        <f t="shared" ref="BJ9:BJ72" si="7">BJ10+BK9</f>
        <v>0.71000000000037744</v>
      </c>
      <c r="BK9" s="23">
        <f t="shared" ref="BK9:BK72" si="8">BI9-BI10</f>
        <v>-20.009999999999991</v>
      </c>
      <c r="BL9" s="6">
        <f t="shared" ref="BL9:BL72" si="9">BH9-BJ9</f>
        <v>-0.71000000000037744</v>
      </c>
      <c r="BM9" s="12">
        <f t="shared" ref="BM9:BM72" si="10">BG9-BK9</f>
        <v>9.9999999999909051E-3</v>
      </c>
      <c r="BO9" s="20">
        <f>BV9-BK9</f>
        <v>1.999999999998181E-2</v>
      </c>
      <c r="BQ9">
        <f t="shared" ref="BQ9:BQ72" si="11">BQ10+1</f>
        <v>76</v>
      </c>
      <c r="BR9">
        <f t="shared" ref="BR9:BR72" si="12">BR10</f>
        <v>-20</v>
      </c>
      <c r="BS9">
        <f t="shared" ref="BS9:BS72" si="13">BS10+BR9</f>
        <v>0</v>
      </c>
      <c r="BT9" s="2">
        <v>-1519.3150000000001</v>
      </c>
      <c r="BU9" s="2">
        <f t="shared" ref="BU9:BU72" si="14">BU10+BV9</f>
        <v>0.68499999999949068</v>
      </c>
      <c r="BV9" s="23">
        <f t="shared" ref="BV9:BV49" si="15">BT9-BT10</f>
        <v>-19.990000000000009</v>
      </c>
      <c r="BW9" s="6">
        <f t="shared" ref="BW9:BW72" si="16">BS9-BU9</f>
        <v>-0.68499999999949068</v>
      </c>
      <c r="BX9" s="12">
        <f t="shared" ref="BX9:BX72" si="17">BR9-BV9</f>
        <v>-9.9999999999909051E-3</v>
      </c>
      <c r="BY9" s="12"/>
      <c r="BZ9" s="20">
        <f>CG9-BV9</f>
        <v>-9.9999999999909051E-3</v>
      </c>
      <c r="CB9">
        <f t="shared" ref="CB9:CB72" si="18">CB10+1</f>
        <v>76</v>
      </c>
      <c r="CC9">
        <f t="shared" ref="CC9:CC72" si="19">CC10</f>
        <v>-20</v>
      </c>
      <c r="CD9">
        <f t="shared" ref="CD9:CD72" si="20">CD10+CC9</f>
        <v>0</v>
      </c>
      <c r="CE9" s="2">
        <v>-1519.3150000000001</v>
      </c>
      <c r="CF9" s="2">
        <f t="shared" ref="CF9:CF72" si="21">CF10+CG9</f>
        <v>0.68499999999994543</v>
      </c>
      <c r="CG9" s="23">
        <f t="shared" ref="CG9:CG49" si="22">CE9-CE10</f>
        <v>-20</v>
      </c>
      <c r="CH9" s="6">
        <f t="shared" ref="CH9:CH72" si="23">CD9-CF9</f>
        <v>-0.68499999999994543</v>
      </c>
      <c r="CI9" s="12">
        <f t="shared" ref="CI9:CI72" si="24">CC9-CG9</f>
        <v>0</v>
      </c>
      <c r="CK9" s="20">
        <f>CR9-CG9</f>
        <v>0</v>
      </c>
      <c r="CM9">
        <f t="shared" ref="CM9:CM72" si="25">CM10+1</f>
        <v>76</v>
      </c>
      <c r="CN9">
        <f t="shared" ref="CN9:CN72" si="26">CN10</f>
        <v>-20</v>
      </c>
      <c r="CO9">
        <f t="shared" ref="CO9:CO72" si="27">CO10+CN9</f>
        <v>0</v>
      </c>
      <c r="CP9" s="2">
        <v>-1519.3150000000001</v>
      </c>
      <c r="CQ9" s="2">
        <f t="shared" ref="CQ9:CQ72" si="28">CQ10+CR9</f>
        <v>0.68499999999971806</v>
      </c>
      <c r="CR9" s="23">
        <f t="shared" ref="CR9:CR49" si="29">CP9-CP10</f>
        <v>-20</v>
      </c>
      <c r="CS9" s="6">
        <f t="shared" ref="CS9:CS72" si="30">CO9-CQ9</f>
        <v>-0.68499999999971806</v>
      </c>
      <c r="CT9" s="12">
        <f t="shared" ref="CT9:CT72" si="31">CN9-CR9</f>
        <v>0</v>
      </c>
      <c r="CV9" s="20">
        <f>DC9-CR9</f>
        <v>-4.9999999998817657E-3</v>
      </c>
      <c r="CX9">
        <f t="shared" ref="CX9:CX72" si="32">CX10+1</f>
        <v>76</v>
      </c>
      <c r="CY9">
        <f t="shared" ref="CY9:CY72" si="33">CY10</f>
        <v>-20</v>
      </c>
      <c r="CZ9">
        <f t="shared" ref="CZ9:CZ72" si="34">CZ10+CY9</f>
        <v>0</v>
      </c>
      <c r="DA9" s="2">
        <v>-1519.32</v>
      </c>
      <c r="DB9" s="2">
        <f t="shared" ref="DB9:DB72" si="35">DB10+DC9</f>
        <v>0.67999999999960892</v>
      </c>
      <c r="DC9" s="23">
        <f t="shared" ref="DC9:DC49" si="36">DA9-DA10</f>
        <v>-20.004999999999882</v>
      </c>
      <c r="DD9" s="6">
        <f t="shared" ref="DD9:DD72" si="37">CZ9-DB9</f>
        <v>-0.67999999999960892</v>
      </c>
      <c r="DE9" s="12">
        <f t="shared" ref="DE9:DE72" si="38">CY9-DC9</f>
        <v>4.9999999998817657E-3</v>
      </c>
    </row>
    <row r="10" spans="1:109" x14ac:dyDescent="0.45">
      <c r="B10">
        <f>B9+1</f>
        <v>2</v>
      </c>
      <c r="C10">
        <v>20</v>
      </c>
      <c r="D10">
        <f>D9+C10</f>
        <v>40</v>
      </c>
      <c r="E10" s="2">
        <v>40.44</v>
      </c>
      <c r="F10" s="23">
        <f>E10-E9</f>
        <v>20.094999999999999</v>
      </c>
      <c r="G10" s="6">
        <f t="shared" ref="G10:G73" si="39">E10-D10</f>
        <v>0.43999999999999773</v>
      </c>
      <c r="H10" s="12">
        <f>(E10-E9)-C10</f>
        <v>9.4999999999998863E-2</v>
      </c>
      <c r="J10" s="20">
        <f t="shared" si="0"/>
        <v>-1.0000000000001563E-2</v>
      </c>
      <c r="K10" s="2"/>
      <c r="L10">
        <f>L9+1</f>
        <v>2</v>
      </c>
      <c r="M10">
        <v>20</v>
      </c>
      <c r="N10">
        <f>N9+M10</f>
        <v>40</v>
      </c>
      <c r="O10" s="2">
        <v>40.424999999999997</v>
      </c>
      <c r="P10" s="23">
        <f>O10-O9</f>
        <v>20.084999999999997</v>
      </c>
      <c r="Q10" s="6">
        <f t="shared" ref="Q10:Q73" si="40">O10-N10</f>
        <v>0.42499999999999716</v>
      </c>
      <c r="R10" s="27">
        <f>(O10-O9)-M10</f>
        <v>8.49999999999973E-2</v>
      </c>
      <c r="S10" s="27"/>
      <c r="T10" s="20">
        <f t="shared" si="1"/>
        <v>-1.4999999999997016E-2</v>
      </c>
      <c r="U10" s="2"/>
      <c r="V10">
        <f>V9+1</f>
        <v>2</v>
      </c>
      <c r="W10">
        <v>20</v>
      </c>
      <c r="X10">
        <f>X9+W10</f>
        <v>40</v>
      </c>
      <c r="Y10" s="2">
        <v>40.405000000000001</v>
      </c>
      <c r="Z10" s="23">
        <f>Y10-Y9</f>
        <v>20.07</v>
      </c>
      <c r="AA10" s="6">
        <f t="shared" ref="AA10:AA73" si="41">Y10-X10</f>
        <v>0.40500000000000114</v>
      </c>
      <c r="AB10" s="27">
        <f>(Y10-Y9)-W10</f>
        <v>7.0000000000000284E-2</v>
      </c>
      <c r="AC10" s="27"/>
      <c r="AD10" s="20">
        <f t="shared" si="2"/>
        <v>1.5000000000000568E-2</v>
      </c>
      <c r="AE10" s="2"/>
      <c r="AF10">
        <f>AF9+1</f>
        <v>2</v>
      </c>
      <c r="AG10">
        <v>20</v>
      </c>
      <c r="AH10">
        <f>AH9+AG10</f>
        <v>40</v>
      </c>
      <c r="AI10" s="2">
        <v>40.414999999999999</v>
      </c>
      <c r="AJ10" s="23">
        <f>AI10-AI9</f>
        <v>20.085000000000001</v>
      </c>
      <c r="AK10" s="6">
        <f t="shared" ref="AK10:AK73" si="42">AI10-AH10</f>
        <v>0.41499999999999915</v>
      </c>
      <c r="AL10" s="27">
        <f>(AI10-AI9)-AG10</f>
        <v>8.5000000000000853E-2</v>
      </c>
      <c r="AM10" s="27"/>
      <c r="AN10" s="20">
        <f t="shared" si="3"/>
        <v>3.9999999999999147E-2</v>
      </c>
      <c r="AO10" s="2"/>
      <c r="AP10">
        <f>AP9+1</f>
        <v>2</v>
      </c>
      <c r="AQ10">
        <v>20</v>
      </c>
      <c r="AR10">
        <f>AR9+AQ10</f>
        <v>40</v>
      </c>
      <c r="AS10" s="2">
        <v>40.454999999999998</v>
      </c>
      <c r="AT10" s="23">
        <f>AS10-AS9</f>
        <v>20.125</v>
      </c>
      <c r="AU10" s="6">
        <f t="shared" ref="AU10:AU73" si="43">AS10-AR10</f>
        <v>0.45499999999999829</v>
      </c>
      <c r="AV10" s="27">
        <f>(AS10-AS9)-AQ10</f>
        <v>0.125</v>
      </c>
      <c r="AW10" s="27"/>
      <c r="AX10" s="27"/>
      <c r="AY10" s="2">
        <f t="shared" ref="AY10:AY73" si="44">(E10+O10+Y10+AI10+AS10)/5</f>
        <v>40.427999999999997</v>
      </c>
      <c r="AZ10" s="23">
        <f t="shared" ref="AZ10:AZ73" si="45">(F10+P10+Z10+AJ10+AT10)/5</f>
        <v>20.091999999999999</v>
      </c>
      <c r="BA10" s="6">
        <f t="shared" ref="BA10:BA73" si="46">(G10+Q10+AA10+AK10+AU10)/5</f>
        <v>0.42799999999999871</v>
      </c>
      <c r="BB10" s="27">
        <f t="shared" ref="BB10:BB73" si="47">(H10+R10+AB10+AL10+AV10)/5</f>
        <v>9.1999999999999457E-2</v>
      </c>
      <c r="BC10" s="27"/>
      <c r="BD10" s="36"/>
      <c r="BF10">
        <f t="shared" si="4"/>
        <v>75</v>
      </c>
      <c r="BG10">
        <f t="shared" si="5"/>
        <v>-20</v>
      </c>
      <c r="BH10">
        <f t="shared" si="6"/>
        <v>20</v>
      </c>
      <c r="BI10" s="2">
        <v>-1499.28</v>
      </c>
      <c r="BJ10" s="2">
        <f t="shared" si="7"/>
        <v>20.720000000000368</v>
      </c>
      <c r="BK10" s="23">
        <f t="shared" si="8"/>
        <v>-20.065000000000055</v>
      </c>
      <c r="BL10" s="6">
        <f t="shared" si="9"/>
        <v>-0.72000000000036835</v>
      </c>
      <c r="BM10" s="12">
        <f t="shared" si="10"/>
        <v>6.500000000005457E-2</v>
      </c>
      <c r="BO10" s="20">
        <f t="shared" ref="BO10:BO73" si="48">BV10-BK10</f>
        <v>-9.9999999999909051E-3</v>
      </c>
      <c r="BQ10">
        <f t="shared" si="11"/>
        <v>75</v>
      </c>
      <c r="BR10">
        <f t="shared" si="12"/>
        <v>-20</v>
      </c>
      <c r="BS10">
        <f t="shared" si="13"/>
        <v>20</v>
      </c>
      <c r="BT10" s="2">
        <v>-1499.325</v>
      </c>
      <c r="BU10" s="2">
        <f t="shared" si="14"/>
        <v>20.6749999999995</v>
      </c>
      <c r="BV10" s="23">
        <f t="shared" si="15"/>
        <v>-20.075000000000045</v>
      </c>
      <c r="BW10" s="6">
        <f t="shared" si="16"/>
        <v>-0.67499999999949978</v>
      </c>
      <c r="BX10" s="12">
        <f t="shared" si="17"/>
        <v>7.5000000000045475E-2</v>
      </c>
      <c r="BY10" s="12"/>
      <c r="BZ10" s="20">
        <f t="shared" ref="BZ10:BZ73" si="49">CG10-BV10</f>
        <v>9.9999999999909051E-3</v>
      </c>
      <c r="CB10">
        <f t="shared" si="18"/>
        <v>75</v>
      </c>
      <c r="CC10">
        <f t="shared" si="19"/>
        <v>-20</v>
      </c>
      <c r="CD10">
        <f t="shared" si="20"/>
        <v>20</v>
      </c>
      <c r="CE10" s="2">
        <v>-1499.3150000000001</v>
      </c>
      <c r="CF10" s="2">
        <f t="shared" si="21"/>
        <v>20.684999999999945</v>
      </c>
      <c r="CG10" s="23">
        <f t="shared" si="22"/>
        <v>-20.065000000000055</v>
      </c>
      <c r="CH10" s="6">
        <f t="shared" si="23"/>
        <v>-0.68499999999994543</v>
      </c>
      <c r="CI10" s="12">
        <f t="shared" si="24"/>
        <v>6.500000000005457E-2</v>
      </c>
      <c r="CK10" s="20">
        <f t="shared" ref="CK10:CK73" si="50">CR10-CG10</f>
        <v>-5.0000000001091394E-3</v>
      </c>
      <c r="CM10">
        <f t="shared" si="25"/>
        <v>75</v>
      </c>
      <c r="CN10">
        <f t="shared" si="26"/>
        <v>-20</v>
      </c>
      <c r="CO10">
        <f t="shared" si="27"/>
        <v>20</v>
      </c>
      <c r="CP10" s="2">
        <v>-1499.3150000000001</v>
      </c>
      <c r="CQ10" s="2">
        <f t="shared" si="28"/>
        <v>20.684999999999718</v>
      </c>
      <c r="CR10" s="23">
        <f t="shared" si="29"/>
        <v>-20.070000000000164</v>
      </c>
      <c r="CS10" s="6">
        <f t="shared" si="30"/>
        <v>-0.68499999999971806</v>
      </c>
      <c r="CT10" s="12">
        <f t="shared" si="31"/>
        <v>7.0000000000163709E-2</v>
      </c>
      <c r="CV10" s="20">
        <f t="shared" ref="CV10:CV73" si="51">DC10-CR10</f>
        <v>5.0000000001091394E-3</v>
      </c>
      <c r="CX10">
        <f t="shared" si="32"/>
        <v>75</v>
      </c>
      <c r="CY10">
        <f t="shared" si="33"/>
        <v>-20</v>
      </c>
      <c r="CZ10">
        <f t="shared" si="34"/>
        <v>20</v>
      </c>
      <c r="DA10" s="2">
        <v>-1499.3150000000001</v>
      </c>
      <c r="DB10" s="2">
        <f t="shared" si="35"/>
        <v>20.684999999999491</v>
      </c>
      <c r="DC10" s="23">
        <f t="shared" si="36"/>
        <v>-20.065000000000055</v>
      </c>
      <c r="DD10" s="6">
        <f t="shared" si="37"/>
        <v>-0.68499999999949068</v>
      </c>
      <c r="DE10" s="12">
        <f t="shared" si="38"/>
        <v>6.500000000005457E-2</v>
      </c>
    </row>
    <row r="11" spans="1:109" x14ac:dyDescent="0.45">
      <c r="B11">
        <f t="shared" ref="B11:B74" si="52">B10+1</f>
        <v>3</v>
      </c>
      <c r="C11">
        <v>20</v>
      </c>
      <c r="D11">
        <f t="shared" ref="D11:D74" si="53">D10+C11</f>
        <v>60</v>
      </c>
      <c r="E11" s="2">
        <v>60.47</v>
      </c>
      <c r="F11" s="23">
        <f t="shared" ref="F11:F74" si="54">E11-E10</f>
        <v>20.03</v>
      </c>
      <c r="G11" s="6">
        <f t="shared" si="39"/>
        <v>0.46999999999999886</v>
      </c>
      <c r="H11" s="12">
        <f t="shared" ref="H11:H74" si="55">(E11-E10)-C11</f>
        <v>3.0000000000001137E-2</v>
      </c>
      <c r="J11" s="20">
        <f t="shared" si="0"/>
        <v>-0.19999999999999574</v>
      </c>
      <c r="K11" s="2"/>
      <c r="L11">
        <f t="shared" ref="L11:L74" si="56">L10+1</f>
        <v>3</v>
      </c>
      <c r="M11">
        <v>20</v>
      </c>
      <c r="N11">
        <f t="shared" ref="N11:N74" si="57">N10+M11</f>
        <v>60</v>
      </c>
      <c r="O11" s="2">
        <v>60.255000000000003</v>
      </c>
      <c r="P11" s="23">
        <f t="shared" ref="P11:P74" si="58">O11-O10</f>
        <v>19.830000000000005</v>
      </c>
      <c r="Q11" s="6">
        <f t="shared" si="40"/>
        <v>0.25500000000000256</v>
      </c>
      <c r="R11" s="27">
        <f t="shared" ref="R11:R74" si="59">(O11-O10)-M11</f>
        <v>-0.1699999999999946</v>
      </c>
      <c r="S11" s="27"/>
      <c r="T11" s="20">
        <f t="shared" si="1"/>
        <v>2.9999999999994031E-2</v>
      </c>
      <c r="U11" s="2"/>
      <c r="V11">
        <f t="shared" ref="V11:V74" si="60">V10+1</f>
        <v>3</v>
      </c>
      <c r="W11">
        <v>20</v>
      </c>
      <c r="X11">
        <f t="shared" ref="X11:X74" si="61">X10+W11</f>
        <v>60</v>
      </c>
      <c r="Y11" s="2">
        <v>60.265000000000001</v>
      </c>
      <c r="Z11" s="23">
        <f t="shared" ref="Z11:Z74" si="62">Y11-Y10</f>
        <v>19.86</v>
      </c>
      <c r="AA11" s="6">
        <f t="shared" si="41"/>
        <v>0.26500000000000057</v>
      </c>
      <c r="AB11" s="27">
        <f t="shared" ref="AB11:AB74" si="63">(Y11-Y10)-W11</f>
        <v>-0.14000000000000057</v>
      </c>
      <c r="AC11" s="27"/>
      <c r="AD11" s="20">
        <f t="shared" si="2"/>
        <v>-1.9999999999996021E-2</v>
      </c>
      <c r="AE11" s="2"/>
      <c r="AF11">
        <f t="shared" ref="AF11:AF74" si="64">AF10+1</f>
        <v>3</v>
      </c>
      <c r="AG11">
        <v>20</v>
      </c>
      <c r="AH11">
        <f t="shared" ref="AH11:AH74" si="65">AH10+AG11</f>
        <v>60</v>
      </c>
      <c r="AI11" s="2">
        <v>60.255000000000003</v>
      </c>
      <c r="AJ11" s="23">
        <f t="shared" ref="AJ11:AJ74" si="66">AI11-AI10</f>
        <v>19.840000000000003</v>
      </c>
      <c r="AK11" s="6">
        <f t="shared" si="42"/>
        <v>0.25500000000000256</v>
      </c>
      <c r="AL11" s="27">
        <f t="shared" ref="AL11:AL74" si="67">(AI11-AI10)-AG11</f>
        <v>-0.15999999999999659</v>
      </c>
      <c r="AM11" s="27"/>
      <c r="AN11" s="20">
        <f t="shared" si="3"/>
        <v>-2.4999999999998579E-2</v>
      </c>
      <c r="AO11" s="2"/>
      <c r="AP11">
        <f t="shared" ref="AP11:AP74" si="68">AP10+1</f>
        <v>3</v>
      </c>
      <c r="AQ11">
        <v>20</v>
      </c>
      <c r="AR11">
        <f t="shared" ref="AR11:AR74" si="69">AR10+AQ11</f>
        <v>60</v>
      </c>
      <c r="AS11" s="2">
        <v>60.27</v>
      </c>
      <c r="AT11" s="23">
        <f t="shared" ref="AT11:AT74" si="70">AS11-AS10</f>
        <v>19.815000000000005</v>
      </c>
      <c r="AU11" s="6">
        <f t="shared" si="43"/>
        <v>0.27000000000000313</v>
      </c>
      <c r="AV11" s="27">
        <f t="shared" ref="AV11:AV74" si="71">(AS11-AS10)-AQ11</f>
        <v>-0.18499999999999517</v>
      </c>
      <c r="AW11" s="27"/>
      <c r="AX11" s="27"/>
      <c r="AY11" s="2">
        <f t="shared" si="44"/>
        <v>60.302999999999997</v>
      </c>
      <c r="AZ11" s="23">
        <f t="shared" si="45"/>
        <v>19.875</v>
      </c>
      <c r="BA11" s="6">
        <f t="shared" si="46"/>
        <v>0.30300000000000155</v>
      </c>
      <c r="BB11" s="27">
        <f t="shared" si="47"/>
        <v>-0.12499999999999716</v>
      </c>
      <c r="BC11" s="27"/>
      <c r="BD11" s="36"/>
      <c r="BF11">
        <f t="shared" si="4"/>
        <v>74</v>
      </c>
      <c r="BG11">
        <f t="shared" si="5"/>
        <v>-20</v>
      </c>
      <c r="BH11">
        <f t="shared" si="6"/>
        <v>40</v>
      </c>
      <c r="BI11" s="2">
        <v>-1479.2149999999999</v>
      </c>
      <c r="BJ11" s="2">
        <f t="shared" si="7"/>
        <v>40.785000000000423</v>
      </c>
      <c r="BK11" s="23">
        <f t="shared" si="8"/>
        <v>-20.049999999999955</v>
      </c>
      <c r="BL11" s="6">
        <f t="shared" si="9"/>
        <v>-0.78500000000042292</v>
      </c>
      <c r="BM11" s="12">
        <f t="shared" si="10"/>
        <v>4.9999999999954525E-2</v>
      </c>
      <c r="BO11" s="20">
        <f t="shared" si="48"/>
        <v>-1.999999999998181E-2</v>
      </c>
      <c r="BQ11">
        <f t="shared" si="11"/>
        <v>74</v>
      </c>
      <c r="BR11">
        <f t="shared" si="12"/>
        <v>-20</v>
      </c>
      <c r="BS11">
        <f t="shared" si="13"/>
        <v>40</v>
      </c>
      <c r="BT11" s="2">
        <v>-1479.25</v>
      </c>
      <c r="BU11" s="2">
        <f t="shared" si="14"/>
        <v>40.749999999999545</v>
      </c>
      <c r="BV11" s="23">
        <f t="shared" si="15"/>
        <v>-20.069999999999936</v>
      </c>
      <c r="BW11" s="6">
        <f t="shared" si="16"/>
        <v>-0.74999999999954525</v>
      </c>
      <c r="BX11" s="12">
        <f t="shared" si="17"/>
        <v>6.9999999999936335E-2</v>
      </c>
      <c r="BY11" s="12"/>
      <c r="BZ11" s="20">
        <f t="shared" si="49"/>
        <v>0</v>
      </c>
      <c r="CB11">
        <f t="shared" si="18"/>
        <v>74</v>
      </c>
      <c r="CC11">
        <f t="shared" si="19"/>
        <v>-20</v>
      </c>
      <c r="CD11">
        <f t="shared" si="20"/>
        <v>40</v>
      </c>
      <c r="CE11" s="2">
        <v>-1479.25</v>
      </c>
      <c r="CF11" s="2">
        <f t="shared" si="21"/>
        <v>40.75</v>
      </c>
      <c r="CG11" s="23">
        <f t="shared" si="22"/>
        <v>-20.069999999999936</v>
      </c>
      <c r="CH11" s="6">
        <f t="shared" si="23"/>
        <v>-0.75</v>
      </c>
      <c r="CI11" s="12">
        <f t="shared" si="24"/>
        <v>6.9999999999936335E-2</v>
      </c>
      <c r="CK11" s="20">
        <f t="shared" si="50"/>
        <v>9.9999999999909051E-3</v>
      </c>
      <c r="CM11">
        <f t="shared" si="25"/>
        <v>74</v>
      </c>
      <c r="CN11">
        <f t="shared" si="26"/>
        <v>-20</v>
      </c>
      <c r="CO11">
        <f t="shared" si="27"/>
        <v>40</v>
      </c>
      <c r="CP11" s="2">
        <v>-1479.2449999999999</v>
      </c>
      <c r="CQ11" s="2">
        <f t="shared" si="28"/>
        <v>40.754999999999882</v>
      </c>
      <c r="CR11" s="23">
        <f t="shared" si="29"/>
        <v>-20.059999999999945</v>
      </c>
      <c r="CS11" s="6">
        <f t="shared" si="30"/>
        <v>-0.75499999999988177</v>
      </c>
      <c r="CT11" s="12">
        <f t="shared" si="31"/>
        <v>5.999999999994543E-2</v>
      </c>
      <c r="CV11" s="20">
        <f t="shared" si="51"/>
        <v>-5.0000000001091394E-3</v>
      </c>
      <c r="CX11">
        <f t="shared" si="32"/>
        <v>74</v>
      </c>
      <c r="CY11">
        <f t="shared" si="33"/>
        <v>-20</v>
      </c>
      <c r="CZ11">
        <f t="shared" si="34"/>
        <v>40</v>
      </c>
      <c r="DA11" s="2">
        <v>-1479.25</v>
      </c>
      <c r="DB11" s="2">
        <f t="shared" si="35"/>
        <v>40.749999999999545</v>
      </c>
      <c r="DC11" s="23">
        <f t="shared" si="36"/>
        <v>-20.065000000000055</v>
      </c>
      <c r="DD11" s="6">
        <f t="shared" si="37"/>
        <v>-0.74999999999954525</v>
      </c>
      <c r="DE11" s="12">
        <f t="shared" si="38"/>
        <v>6.500000000005457E-2</v>
      </c>
    </row>
    <row r="12" spans="1:109" x14ac:dyDescent="0.45">
      <c r="B12">
        <f t="shared" si="52"/>
        <v>4</v>
      </c>
      <c r="C12">
        <v>20</v>
      </c>
      <c r="D12">
        <f t="shared" si="53"/>
        <v>80</v>
      </c>
      <c r="E12" s="2">
        <v>80.805000000000007</v>
      </c>
      <c r="F12" s="23">
        <f t="shared" si="54"/>
        <v>20.335000000000008</v>
      </c>
      <c r="G12" s="6">
        <f t="shared" si="39"/>
        <v>0.80500000000000682</v>
      </c>
      <c r="H12" s="12">
        <f t="shared" si="55"/>
        <v>0.33500000000000796</v>
      </c>
      <c r="J12" s="20">
        <f t="shared" si="0"/>
        <v>-0.1150000000000162</v>
      </c>
      <c r="K12" s="2"/>
      <c r="L12">
        <f t="shared" si="56"/>
        <v>4</v>
      </c>
      <c r="M12">
        <v>20</v>
      </c>
      <c r="N12">
        <f t="shared" si="57"/>
        <v>80</v>
      </c>
      <c r="O12" s="2">
        <v>80.474999999999994</v>
      </c>
      <c r="P12" s="23">
        <f t="shared" si="58"/>
        <v>20.219999999999992</v>
      </c>
      <c r="Q12" s="6">
        <f t="shared" si="40"/>
        <v>0.47499999999999432</v>
      </c>
      <c r="R12" s="27">
        <f t="shared" si="59"/>
        <v>0.21999999999999176</v>
      </c>
      <c r="S12" s="27"/>
      <c r="T12" s="20">
        <f t="shared" si="1"/>
        <v>-1.9999999999988916E-2</v>
      </c>
      <c r="U12" s="2"/>
      <c r="V12">
        <f t="shared" si="60"/>
        <v>4</v>
      </c>
      <c r="W12">
        <v>20</v>
      </c>
      <c r="X12">
        <f t="shared" si="61"/>
        <v>80</v>
      </c>
      <c r="Y12" s="2">
        <v>80.465000000000003</v>
      </c>
      <c r="Z12" s="23">
        <f t="shared" si="62"/>
        <v>20.200000000000003</v>
      </c>
      <c r="AA12" s="6">
        <f t="shared" si="41"/>
        <v>0.46500000000000341</v>
      </c>
      <c r="AB12" s="27">
        <f t="shared" si="63"/>
        <v>0.20000000000000284</v>
      </c>
      <c r="AC12" s="27"/>
      <c r="AD12" s="20">
        <f t="shared" si="2"/>
        <v>-6.5000000000004832E-2</v>
      </c>
      <c r="AE12" s="2"/>
      <c r="AF12">
        <f t="shared" si="64"/>
        <v>4</v>
      </c>
      <c r="AG12">
        <v>20</v>
      </c>
      <c r="AH12">
        <f t="shared" si="65"/>
        <v>80</v>
      </c>
      <c r="AI12" s="2">
        <v>80.39</v>
      </c>
      <c r="AJ12" s="23">
        <f t="shared" si="66"/>
        <v>20.134999999999998</v>
      </c>
      <c r="AK12" s="6">
        <f t="shared" si="42"/>
        <v>0.39000000000000057</v>
      </c>
      <c r="AL12" s="27">
        <f t="shared" si="67"/>
        <v>0.13499999999999801</v>
      </c>
      <c r="AM12" s="27"/>
      <c r="AN12" s="20">
        <f t="shared" si="3"/>
        <v>0.12999999999999545</v>
      </c>
      <c r="AO12" s="2"/>
      <c r="AP12">
        <f t="shared" si="68"/>
        <v>4</v>
      </c>
      <c r="AQ12">
        <v>20</v>
      </c>
      <c r="AR12">
        <f t="shared" si="69"/>
        <v>80</v>
      </c>
      <c r="AS12" s="2">
        <v>80.534999999999997</v>
      </c>
      <c r="AT12" s="23">
        <f t="shared" si="70"/>
        <v>20.264999999999993</v>
      </c>
      <c r="AU12" s="6">
        <f t="shared" si="43"/>
        <v>0.53499999999999659</v>
      </c>
      <c r="AV12" s="27">
        <f t="shared" si="71"/>
        <v>0.26499999999999346</v>
      </c>
      <c r="AW12" s="27"/>
      <c r="AX12" s="27"/>
      <c r="AY12" s="2">
        <f t="shared" si="44"/>
        <v>80.533999999999992</v>
      </c>
      <c r="AZ12" s="23">
        <f t="shared" si="45"/>
        <v>20.231000000000002</v>
      </c>
      <c r="BA12" s="6">
        <f t="shared" si="46"/>
        <v>0.53400000000000036</v>
      </c>
      <c r="BB12" s="27">
        <f t="shared" si="47"/>
        <v>0.23099999999999882</v>
      </c>
      <c r="BC12" s="27"/>
      <c r="BD12" s="36"/>
      <c r="BF12">
        <f t="shared" si="4"/>
        <v>73</v>
      </c>
      <c r="BG12">
        <f t="shared" si="5"/>
        <v>-20</v>
      </c>
      <c r="BH12">
        <f t="shared" si="6"/>
        <v>60</v>
      </c>
      <c r="BI12" s="2">
        <v>-1459.165</v>
      </c>
      <c r="BJ12" s="2">
        <f t="shared" si="7"/>
        <v>60.835000000000377</v>
      </c>
      <c r="BK12" s="23">
        <f t="shared" si="8"/>
        <v>-20.045000000000073</v>
      </c>
      <c r="BL12" s="6">
        <f t="shared" si="9"/>
        <v>-0.83500000000037744</v>
      </c>
      <c r="BM12" s="12">
        <f t="shared" si="10"/>
        <v>4.500000000007276E-2</v>
      </c>
      <c r="BO12" s="20">
        <f t="shared" si="48"/>
        <v>1.5000000000100044E-2</v>
      </c>
      <c r="BQ12">
        <f t="shared" si="11"/>
        <v>73</v>
      </c>
      <c r="BR12">
        <f t="shared" si="12"/>
        <v>-20</v>
      </c>
      <c r="BS12">
        <f t="shared" si="13"/>
        <v>60</v>
      </c>
      <c r="BT12" s="2">
        <v>-1459.18</v>
      </c>
      <c r="BU12" s="2">
        <f t="shared" si="14"/>
        <v>60.819999999999482</v>
      </c>
      <c r="BV12" s="23">
        <f t="shared" si="15"/>
        <v>-20.029999999999973</v>
      </c>
      <c r="BW12" s="6">
        <f t="shared" si="16"/>
        <v>-0.81999999999948159</v>
      </c>
      <c r="BX12" s="12">
        <f t="shared" si="17"/>
        <v>2.9999999999972715E-2</v>
      </c>
      <c r="BY12" s="12"/>
      <c r="BZ12" s="20">
        <f t="shared" si="49"/>
        <v>4.9999999998817657E-3</v>
      </c>
      <c r="CB12">
        <f t="shared" si="18"/>
        <v>73</v>
      </c>
      <c r="CC12">
        <f t="shared" si="19"/>
        <v>-20</v>
      </c>
      <c r="CD12">
        <f t="shared" si="20"/>
        <v>60</v>
      </c>
      <c r="CE12" s="2">
        <v>-1459.18</v>
      </c>
      <c r="CF12" s="2">
        <f t="shared" si="21"/>
        <v>60.819999999999936</v>
      </c>
      <c r="CG12" s="23">
        <f t="shared" si="22"/>
        <v>-20.025000000000091</v>
      </c>
      <c r="CH12" s="6">
        <f t="shared" si="23"/>
        <v>-0.81999999999993634</v>
      </c>
      <c r="CI12" s="12">
        <f t="shared" si="24"/>
        <v>2.5000000000090949E-2</v>
      </c>
      <c r="CK12" s="20">
        <f t="shared" si="50"/>
        <v>2.2737367544323206E-13</v>
      </c>
      <c r="CM12">
        <f t="shared" si="25"/>
        <v>73</v>
      </c>
      <c r="CN12">
        <f t="shared" si="26"/>
        <v>-20</v>
      </c>
      <c r="CO12">
        <f t="shared" si="27"/>
        <v>60</v>
      </c>
      <c r="CP12" s="2">
        <v>-1459.1849999999999</v>
      </c>
      <c r="CQ12" s="2">
        <f t="shared" si="28"/>
        <v>60.814999999999827</v>
      </c>
      <c r="CR12" s="23">
        <f t="shared" si="29"/>
        <v>-20.024999999999864</v>
      </c>
      <c r="CS12" s="6">
        <f t="shared" si="30"/>
        <v>-0.8149999999998272</v>
      </c>
      <c r="CT12" s="12">
        <f t="shared" si="31"/>
        <v>2.4999999999863576E-2</v>
      </c>
      <c r="CV12" s="20">
        <f t="shared" si="51"/>
        <v>4.9999999998817657E-3</v>
      </c>
      <c r="CX12">
        <f t="shared" si="32"/>
        <v>73</v>
      </c>
      <c r="CY12">
        <f t="shared" si="33"/>
        <v>-20</v>
      </c>
      <c r="CZ12">
        <f t="shared" si="34"/>
        <v>60</v>
      </c>
      <c r="DA12" s="2">
        <v>-1459.1849999999999</v>
      </c>
      <c r="DB12" s="2">
        <f t="shared" si="35"/>
        <v>60.8149999999996</v>
      </c>
      <c r="DC12" s="23">
        <f t="shared" si="36"/>
        <v>-20.019999999999982</v>
      </c>
      <c r="DD12" s="6">
        <f t="shared" si="37"/>
        <v>-0.81499999999959982</v>
      </c>
      <c r="DE12" s="12">
        <f t="shared" si="38"/>
        <v>1.999999999998181E-2</v>
      </c>
    </row>
    <row r="13" spans="1:109" x14ac:dyDescent="0.45">
      <c r="B13">
        <f t="shared" si="52"/>
        <v>5</v>
      </c>
      <c r="C13">
        <v>20</v>
      </c>
      <c r="D13">
        <f t="shared" si="53"/>
        <v>100</v>
      </c>
      <c r="E13" s="2">
        <v>100.645</v>
      </c>
      <c r="F13" s="23">
        <f t="shared" si="54"/>
        <v>19.839999999999989</v>
      </c>
      <c r="G13" s="6">
        <f t="shared" si="39"/>
        <v>0.64499999999999602</v>
      </c>
      <c r="H13" s="12">
        <f t="shared" si="55"/>
        <v>-0.1600000000000108</v>
      </c>
      <c r="J13" s="20">
        <f t="shared" si="0"/>
        <v>0.30500000000002103</v>
      </c>
      <c r="K13" s="2"/>
      <c r="L13">
        <f t="shared" si="56"/>
        <v>5</v>
      </c>
      <c r="M13">
        <v>20</v>
      </c>
      <c r="N13">
        <f t="shared" si="57"/>
        <v>100</v>
      </c>
      <c r="O13" s="2">
        <v>100.62</v>
      </c>
      <c r="P13" s="23">
        <f t="shared" si="58"/>
        <v>20.14500000000001</v>
      </c>
      <c r="Q13" s="6">
        <f t="shared" si="40"/>
        <v>0.62000000000000455</v>
      </c>
      <c r="R13" s="27">
        <f t="shared" si="59"/>
        <v>0.14500000000001023</v>
      </c>
      <c r="S13" s="27"/>
      <c r="T13" s="20">
        <f t="shared" si="1"/>
        <v>7.9999999999984084E-2</v>
      </c>
      <c r="U13" s="2"/>
      <c r="V13">
        <f t="shared" si="60"/>
        <v>5</v>
      </c>
      <c r="W13">
        <v>20</v>
      </c>
      <c r="X13">
        <f t="shared" si="61"/>
        <v>100</v>
      </c>
      <c r="Y13" s="2">
        <v>100.69</v>
      </c>
      <c r="Z13" s="23">
        <f t="shared" si="62"/>
        <v>20.224999999999994</v>
      </c>
      <c r="AA13" s="6">
        <f t="shared" si="41"/>
        <v>0.68999999999999773</v>
      </c>
      <c r="AB13" s="27">
        <f t="shared" si="63"/>
        <v>0.22499999999999432</v>
      </c>
      <c r="AC13" s="27"/>
      <c r="AD13" s="20">
        <f t="shared" si="2"/>
        <v>4.0000000000006253E-2</v>
      </c>
      <c r="AE13" s="2"/>
      <c r="AF13">
        <f t="shared" si="64"/>
        <v>5</v>
      </c>
      <c r="AG13">
        <v>20</v>
      </c>
      <c r="AH13">
        <f t="shared" si="65"/>
        <v>100</v>
      </c>
      <c r="AI13" s="2">
        <v>100.655</v>
      </c>
      <c r="AJ13" s="23">
        <f t="shared" si="66"/>
        <v>20.265000000000001</v>
      </c>
      <c r="AK13" s="6">
        <f t="shared" si="42"/>
        <v>0.65500000000000114</v>
      </c>
      <c r="AL13" s="27">
        <f t="shared" si="67"/>
        <v>0.26500000000000057</v>
      </c>
      <c r="AM13" s="27"/>
      <c r="AN13" s="20">
        <f t="shared" si="3"/>
        <v>-9.9999999999994316E-2</v>
      </c>
      <c r="AO13" s="2"/>
      <c r="AP13">
        <f t="shared" si="68"/>
        <v>5</v>
      </c>
      <c r="AQ13">
        <v>20</v>
      </c>
      <c r="AR13">
        <f t="shared" si="69"/>
        <v>100</v>
      </c>
      <c r="AS13" s="2">
        <v>100.7</v>
      </c>
      <c r="AT13" s="23">
        <f t="shared" si="70"/>
        <v>20.165000000000006</v>
      </c>
      <c r="AU13" s="6">
        <f t="shared" si="43"/>
        <v>0.70000000000000284</v>
      </c>
      <c r="AV13" s="27">
        <f t="shared" si="71"/>
        <v>0.16500000000000625</v>
      </c>
      <c r="AW13" s="27"/>
      <c r="AX13" s="27"/>
      <c r="AY13" s="2">
        <f t="shared" si="44"/>
        <v>100.66200000000001</v>
      </c>
      <c r="AZ13" s="23">
        <f t="shared" si="45"/>
        <v>20.128</v>
      </c>
      <c r="BA13" s="6">
        <f t="shared" si="46"/>
        <v>0.66200000000000048</v>
      </c>
      <c r="BB13" s="27">
        <f t="shared" si="47"/>
        <v>0.12800000000000011</v>
      </c>
      <c r="BC13" s="27"/>
      <c r="BD13" s="36"/>
      <c r="BF13">
        <f t="shared" si="4"/>
        <v>72</v>
      </c>
      <c r="BG13">
        <f t="shared" si="5"/>
        <v>-20</v>
      </c>
      <c r="BH13">
        <f t="shared" si="6"/>
        <v>80</v>
      </c>
      <c r="BI13" s="2">
        <v>-1439.12</v>
      </c>
      <c r="BJ13" s="2">
        <f t="shared" si="7"/>
        <v>80.88000000000045</v>
      </c>
      <c r="BK13" s="23">
        <f t="shared" si="8"/>
        <v>-19.924999999999955</v>
      </c>
      <c r="BL13" s="6">
        <f t="shared" si="9"/>
        <v>-0.8800000000004502</v>
      </c>
      <c r="BM13" s="12">
        <f t="shared" si="10"/>
        <v>-7.5000000000045475E-2</v>
      </c>
      <c r="BO13" s="20">
        <f t="shared" si="48"/>
        <v>-0.10000000000013642</v>
      </c>
      <c r="BQ13">
        <f t="shared" si="11"/>
        <v>72</v>
      </c>
      <c r="BR13">
        <f t="shared" si="12"/>
        <v>-20</v>
      </c>
      <c r="BS13">
        <f t="shared" si="13"/>
        <v>80</v>
      </c>
      <c r="BT13" s="2">
        <v>-1439.15</v>
      </c>
      <c r="BU13" s="2">
        <f t="shared" si="14"/>
        <v>80.849999999999454</v>
      </c>
      <c r="BV13" s="23">
        <f t="shared" si="15"/>
        <v>-20.025000000000091</v>
      </c>
      <c r="BW13" s="6">
        <f t="shared" si="16"/>
        <v>-0.8499999999994543</v>
      </c>
      <c r="BX13" s="12">
        <f t="shared" si="17"/>
        <v>2.5000000000090949E-2</v>
      </c>
      <c r="BY13" s="12"/>
      <c r="BZ13" s="20">
        <f t="shared" si="49"/>
        <v>2.2737367544323206E-13</v>
      </c>
      <c r="CB13">
        <f t="shared" si="18"/>
        <v>72</v>
      </c>
      <c r="CC13">
        <f t="shared" si="19"/>
        <v>-20</v>
      </c>
      <c r="CD13">
        <f t="shared" si="20"/>
        <v>80</v>
      </c>
      <c r="CE13" s="2">
        <v>-1439.155</v>
      </c>
      <c r="CF13" s="2">
        <f t="shared" si="21"/>
        <v>80.845000000000027</v>
      </c>
      <c r="CG13" s="23">
        <f t="shared" si="22"/>
        <v>-20.024999999999864</v>
      </c>
      <c r="CH13" s="6">
        <f t="shared" si="23"/>
        <v>-0.84500000000002728</v>
      </c>
      <c r="CI13" s="12">
        <f t="shared" si="24"/>
        <v>2.4999999999863576E-2</v>
      </c>
      <c r="CK13" s="20">
        <f t="shared" si="50"/>
        <v>-1.0000000000218279E-2</v>
      </c>
      <c r="CM13">
        <f t="shared" si="25"/>
        <v>72</v>
      </c>
      <c r="CN13">
        <f t="shared" si="26"/>
        <v>-20</v>
      </c>
      <c r="CO13">
        <f t="shared" si="27"/>
        <v>80</v>
      </c>
      <c r="CP13" s="2">
        <v>-1439.16</v>
      </c>
      <c r="CQ13" s="2">
        <f t="shared" si="28"/>
        <v>80.839999999999691</v>
      </c>
      <c r="CR13" s="23">
        <f t="shared" si="29"/>
        <v>-20.035000000000082</v>
      </c>
      <c r="CS13" s="6">
        <f t="shared" si="30"/>
        <v>-0.83999999999969077</v>
      </c>
      <c r="CT13" s="12">
        <f t="shared" si="31"/>
        <v>3.5000000000081855E-2</v>
      </c>
      <c r="CV13" s="20">
        <f t="shared" si="51"/>
        <v>2.5000000000090949E-2</v>
      </c>
      <c r="CX13">
        <f t="shared" si="32"/>
        <v>72</v>
      </c>
      <c r="CY13">
        <f t="shared" si="33"/>
        <v>-20</v>
      </c>
      <c r="CZ13">
        <f t="shared" si="34"/>
        <v>80</v>
      </c>
      <c r="DA13" s="2">
        <v>-1439.165</v>
      </c>
      <c r="DB13" s="2">
        <f t="shared" si="35"/>
        <v>80.834999999999582</v>
      </c>
      <c r="DC13" s="23">
        <f t="shared" si="36"/>
        <v>-20.009999999999991</v>
      </c>
      <c r="DD13" s="6">
        <f t="shared" si="37"/>
        <v>-0.83499999999958163</v>
      </c>
      <c r="DE13" s="12">
        <f t="shared" si="38"/>
        <v>9.9999999999909051E-3</v>
      </c>
    </row>
    <row r="14" spans="1:109" x14ac:dyDescent="0.45">
      <c r="B14">
        <f t="shared" si="52"/>
        <v>6</v>
      </c>
      <c r="C14">
        <v>20</v>
      </c>
      <c r="D14">
        <f t="shared" si="53"/>
        <v>120</v>
      </c>
      <c r="E14" s="2">
        <v>120.72499999999999</v>
      </c>
      <c r="F14" s="23">
        <f t="shared" si="54"/>
        <v>20.079999999999998</v>
      </c>
      <c r="G14" s="6">
        <f t="shared" si="39"/>
        <v>0.72499999999999432</v>
      </c>
      <c r="H14" s="12">
        <f t="shared" si="55"/>
        <v>7.9999999999998295E-2</v>
      </c>
      <c r="J14" s="20">
        <f t="shared" si="0"/>
        <v>9.4999999999998863E-2</v>
      </c>
      <c r="K14" s="2"/>
      <c r="L14">
        <f t="shared" si="56"/>
        <v>6</v>
      </c>
      <c r="M14">
        <v>20</v>
      </c>
      <c r="N14">
        <f t="shared" si="57"/>
        <v>120</v>
      </c>
      <c r="O14" s="2">
        <v>120.795</v>
      </c>
      <c r="P14" s="23">
        <f t="shared" si="58"/>
        <v>20.174999999999997</v>
      </c>
      <c r="Q14" s="6">
        <f t="shared" si="40"/>
        <v>0.79500000000000171</v>
      </c>
      <c r="R14" s="27">
        <f t="shared" si="59"/>
        <v>0.17499999999999716</v>
      </c>
      <c r="S14" s="27"/>
      <c r="T14" s="20">
        <f t="shared" si="1"/>
        <v>-0.13499999999999091</v>
      </c>
      <c r="U14" s="2"/>
      <c r="V14">
        <f t="shared" si="60"/>
        <v>6</v>
      </c>
      <c r="W14">
        <v>20</v>
      </c>
      <c r="X14">
        <f t="shared" si="61"/>
        <v>120</v>
      </c>
      <c r="Y14" s="2">
        <v>120.73</v>
      </c>
      <c r="Z14" s="23">
        <f t="shared" si="62"/>
        <v>20.040000000000006</v>
      </c>
      <c r="AA14" s="6">
        <f t="shared" si="41"/>
        <v>0.73000000000000398</v>
      </c>
      <c r="AB14" s="27">
        <f t="shared" si="63"/>
        <v>4.0000000000006253E-2</v>
      </c>
      <c r="AC14" s="27"/>
      <c r="AD14" s="20">
        <f t="shared" si="2"/>
        <v>4.9999999999954525E-3</v>
      </c>
      <c r="AE14" s="2"/>
      <c r="AF14">
        <f t="shared" si="64"/>
        <v>6</v>
      </c>
      <c r="AG14">
        <v>20</v>
      </c>
      <c r="AH14">
        <f t="shared" si="65"/>
        <v>120</v>
      </c>
      <c r="AI14" s="2">
        <v>120.7</v>
      </c>
      <c r="AJ14" s="23">
        <f t="shared" si="66"/>
        <v>20.045000000000002</v>
      </c>
      <c r="AK14" s="6">
        <f t="shared" si="42"/>
        <v>0.70000000000000284</v>
      </c>
      <c r="AL14" s="27">
        <f t="shared" si="67"/>
        <v>4.5000000000001705E-2</v>
      </c>
      <c r="AM14" s="27"/>
      <c r="AN14" s="20">
        <f t="shared" si="3"/>
        <v>-9.0000000000003411E-2</v>
      </c>
      <c r="AO14" s="2"/>
      <c r="AP14">
        <f t="shared" si="68"/>
        <v>6</v>
      </c>
      <c r="AQ14">
        <v>20</v>
      </c>
      <c r="AR14">
        <f t="shared" si="69"/>
        <v>120</v>
      </c>
      <c r="AS14" s="2">
        <v>120.655</v>
      </c>
      <c r="AT14" s="23">
        <f t="shared" si="70"/>
        <v>19.954999999999998</v>
      </c>
      <c r="AU14" s="6">
        <f t="shared" si="43"/>
        <v>0.65500000000000114</v>
      </c>
      <c r="AV14" s="27">
        <f t="shared" si="71"/>
        <v>-4.5000000000001705E-2</v>
      </c>
      <c r="AW14" s="27"/>
      <c r="AX14" s="27"/>
      <c r="AY14" s="2">
        <f t="shared" si="44"/>
        <v>120.721</v>
      </c>
      <c r="AZ14" s="23">
        <f t="shared" si="45"/>
        <v>20.059000000000001</v>
      </c>
      <c r="BA14" s="6">
        <f t="shared" si="46"/>
        <v>0.72100000000000075</v>
      </c>
      <c r="BB14" s="27">
        <f t="shared" si="47"/>
        <v>5.9000000000000344E-2</v>
      </c>
      <c r="BC14" s="27"/>
      <c r="BD14" s="36"/>
      <c r="BF14">
        <f t="shared" si="4"/>
        <v>71</v>
      </c>
      <c r="BG14">
        <f t="shared" si="5"/>
        <v>-20</v>
      </c>
      <c r="BH14">
        <f t="shared" si="6"/>
        <v>100</v>
      </c>
      <c r="BI14" s="2">
        <v>-1419.1949999999999</v>
      </c>
      <c r="BJ14" s="2">
        <f t="shared" si="7"/>
        <v>100.8050000000004</v>
      </c>
      <c r="BK14" s="23">
        <f t="shared" si="8"/>
        <v>-20.024999999999864</v>
      </c>
      <c r="BL14" s="6">
        <f t="shared" si="9"/>
        <v>-0.80500000000040473</v>
      </c>
      <c r="BM14" s="12">
        <f t="shared" si="10"/>
        <v>2.4999999999863576E-2</v>
      </c>
      <c r="BO14" s="20">
        <f t="shared" si="48"/>
        <v>9.9999999999909051E-2</v>
      </c>
      <c r="BQ14">
        <f t="shared" si="11"/>
        <v>71</v>
      </c>
      <c r="BR14">
        <f t="shared" si="12"/>
        <v>-20</v>
      </c>
      <c r="BS14">
        <f t="shared" si="13"/>
        <v>100</v>
      </c>
      <c r="BT14" s="2">
        <v>-1419.125</v>
      </c>
      <c r="BU14" s="2">
        <f t="shared" si="14"/>
        <v>100.87499999999955</v>
      </c>
      <c r="BV14" s="23">
        <f t="shared" si="15"/>
        <v>-19.924999999999955</v>
      </c>
      <c r="BW14" s="6">
        <f t="shared" si="16"/>
        <v>-0.87499999999954525</v>
      </c>
      <c r="BX14" s="12">
        <f t="shared" si="17"/>
        <v>-7.5000000000045475E-2</v>
      </c>
      <c r="BY14" s="12"/>
      <c r="BZ14" s="20">
        <f t="shared" si="49"/>
        <v>-5.0000000001091394E-3</v>
      </c>
      <c r="CB14">
        <f t="shared" si="18"/>
        <v>71</v>
      </c>
      <c r="CC14">
        <f t="shared" si="19"/>
        <v>-20</v>
      </c>
      <c r="CD14">
        <f t="shared" si="20"/>
        <v>100</v>
      </c>
      <c r="CE14" s="2">
        <v>-1419.13</v>
      </c>
      <c r="CF14" s="2">
        <f t="shared" si="21"/>
        <v>100.86999999999989</v>
      </c>
      <c r="CG14" s="23">
        <f t="shared" si="22"/>
        <v>-19.930000000000064</v>
      </c>
      <c r="CH14" s="6">
        <f t="shared" si="23"/>
        <v>-0.86999999999989086</v>
      </c>
      <c r="CI14" s="12">
        <f t="shared" si="24"/>
        <v>-6.9999999999936335E-2</v>
      </c>
      <c r="CK14" s="20">
        <f t="shared" si="50"/>
        <v>5.0000000001091394E-3</v>
      </c>
      <c r="CM14">
        <f t="shared" si="25"/>
        <v>71</v>
      </c>
      <c r="CN14">
        <f t="shared" si="26"/>
        <v>-20</v>
      </c>
      <c r="CO14">
        <f t="shared" si="27"/>
        <v>100</v>
      </c>
      <c r="CP14" s="2">
        <v>-1419.125</v>
      </c>
      <c r="CQ14" s="2">
        <f t="shared" si="28"/>
        <v>100.87499999999977</v>
      </c>
      <c r="CR14" s="23">
        <f t="shared" si="29"/>
        <v>-19.924999999999955</v>
      </c>
      <c r="CS14" s="6">
        <f t="shared" si="30"/>
        <v>-0.87499999999977263</v>
      </c>
      <c r="CT14" s="12">
        <f t="shared" si="31"/>
        <v>-7.5000000000045475E-2</v>
      </c>
      <c r="CV14" s="20">
        <f t="shared" si="51"/>
        <v>-1.999999999998181E-2</v>
      </c>
      <c r="CX14">
        <f t="shared" si="32"/>
        <v>71</v>
      </c>
      <c r="CY14">
        <f t="shared" si="33"/>
        <v>-20</v>
      </c>
      <c r="CZ14">
        <f t="shared" si="34"/>
        <v>100</v>
      </c>
      <c r="DA14" s="2">
        <v>-1419.155</v>
      </c>
      <c r="DB14" s="2">
        <f t="shared" si="35"/>
        <v>100.84499999999957</v>
      </c>
      <c r="DC14" s="23">
        <f t="shared" si="36"/>
        <v>-19.944999999999936</v>
      </c>
      <c r="DD14" s="6">
        <f t="shared" si="37"/>
        <v>-0.84499999999957254</v>
      </c>
      <c r="DE14" s="12">
        <f t="shared" si="38"/>
        <v>-5.5000000000063665E-2</v>
      </c>
    </row>
    <row r="15" spans="1:109" x14ac:dyDescent="0.45">
      <c r="B15">
        <f t="shared" si="52"/>
        <v>7</v>
      </c>
      <c r="C15">
        <v>20</v>
      </c>
      <c r="D15">
        <f t="shared" si="53"/>
        <v>140</v>
      </c>
      <c r="E15" s="2">
        <v>140.69</v>
      </c>
      <c r="F15" s="23">
        <f t="shared" si="54"/>
        <v>19.965000000000003</v>
      </c>
      <c r="G15" s="6">
        <f t="shared" si="39"/>
        <v>0.68999999999999773</v>
      </c>
      <c r="H15" s="12">
        <f t="shared" si="55"/>
        <v>-3.4999999999996589E-2</v>
      </c>
      <c r="J15" s="20">
        <f t="shared" si="0"/>
        <v>-9.5000000000013074E-2</v>
      </c>
      <c r="K15" s="2"/>
      <c r="L15">
        <f t="shared" si="56"/>
        <v>7</v>
      </c>
      <c r="M15">
        <v>20</v>
      </c>
      <c r="N15">
        <f t="shared" si="57"/>
        <v>140</v>
      </c>
      <c r="O15" s="2">
        <v>140.66499999999999</v>
      </c>
      <c r="P15" s="23">
        <f t="shared" si="58"/>
        <v>19.86999999999999</v>
      </c>
      <c r="Q15" s="6">
        <f t="shared" si="40"/>
        <v>0.66499999999999204</v>
      </c>
      <c r="R15" s="27">
        <f t="shared" si="59"/>
        <v>-0.13000000000000966</v>
      </c>
      <c r="S15" s="27"/>
      <c r="T15" s="20">
        <f t="shared" si="1"/>
        <v>5.5000000000006821E-2</v>
      </c>
      <c r="U15" s="2"/>
      <c r="V15">
        <f t="shared" si="60"/>
        <v>7</v>
      </c>
      <c r="W15">
        <v>20</v>
      </c>
      <c r="X15">
        <f t="shared" si="61"/>
        <v>140</v>
      </c>
      <c r="Y15" s="2">
        <v>140.655</v>
      </c>
      <c r="Z15" s="23">
        <f t="shared" si="62"/>
        <v>19.924999999999997</v>
      </c>
      <c r="AA15" s="6">
        <f t="shared" si="41"/>
        <v>0.65500000000000114</v>
      </c>
      <c r="AB15" s="27">
        <f t="shared" si="63"/>
        <v>-7.5000000000002842E-2</v>
      </c>
      <c r="AC15" s="27"/>
      <c r="AD15" s="20">
        <f t="shared" si="2"/>
        <v>1.4999999999986358E-2</v>
      </c>
      <c r="AE15" s="2"/>
      <c r="AF15">
        <f t="shared" si="64"/>
        <v>7</v>
      </c>
      <c r="AG15">
        <v>20</v>
      </c>
      <c r="AH15">
        <f t="shared" si="65"/>
        <v>140</v>
      </c>
      <c r="AI15" s="2">
        <v>140.63999999999999</v>
      </c>
      <c r="AJ15" s="23">
        <f t="shared" si="66"/>
        <v>19.939999999999984</v>
      </c>
      <c r="AK15" s="6">
        <f t="shared" si="42"/>
        <v>0.63999999999998636</v>
      </c>
      <c r="AL15" s="27">
        <f t="shared" si="67"/>
        <v>-6.0000000000016485E-2</v>
      </c>
      <c r="AM15" s="27"/>
      <c r="AN15" s="20">
        <f t="shared" si="3"/>
        <v>0.10500000000000398</v>
      </c>
      <c r="AO15" s="2"/>
      <c r="AP15">
        <f t="shared" si="68"/>
        <v>7</v>
      </c>
      <c r="AQ15">
        <v>20</v>
      </c>
      <c r="AR15">
        <f t="shared" si="69"/>
        <v>140</v>
      </c>
      <c r="AS15" s="2">
        <v>140.69999999999999</v>
      </c>
      <c r="AT15" s="23">
        <f t="shared" si="70"/>
        <v>20.044999999999987</v>
      </c>
      <c r="AU15" s="6">
        <f t="shared" si="43"/>
        <v>0.69999999999998863</v>
      </c>
      <c r="AV15" s="27">
        <f t="shared" si="71"/>
        <v>4.4999999999987494E-2</v>
      </c>
      <c r="AW15" s="27"/>
      <c r="AX15" s="27"/>
      <c r="AY15" s="2">
        <f t="shared" si="44"/>
        <v>140.66999999999999</v>
      </c>
      <c r="AZ15" s="23">
        <f t="shared" si="45"/>
        <v>19.948999999999991</v>
      </c>
      <c r="BA15" s="6">
        <f t="shared" si="46"/>
        <v>0.66999999999999316</v>
      </c>
      <c r="BB15" s="27">
        <f t="shared" si="47"/>
        <v>-5.1000000000007616E-2</v>
      </c>
      <c r="BC15" s="27"/>
      <c r="BD15" s="36"/>
      <c r="BF15">
        <f t="shared" si="4"/>
        <v>70</v>
      </c>
      <c r="BG15">
        <f t="shared" si="5"/>
        <v>-20</v>
      </c>
      <c r="BH15">
        <f t="shared" si="6"/>
        <v>120</v>
      </c>
      <c r="BI15" s="2">
        <v>-1399.17</v>
      </c>
      <c r="BJ15" s="2">
        <f t="shared" si="7"/>
        <v>120.83000000000027</v>
      </c>
      <c r="BK15" s="23">
        <f t="shared" si="8"/>
        <v>-19.955000000000155</v>
      </c>
      <c r="BL15" s="6">
        <f t="shared" si="9"/>
        <v>-0.8300000000002683</v>
      </c>
      <c r="BM15" s="12">
        <f t="shared" si="10"/>
        <v>-4.4999999999845386E-2</v>
      </c>
      <c r="BO15" s="20">
        <f t="shared" si="48"/>
        <v>5.0000000001091394E-3</v>
      </c>
      <c r="BQ15">
        <f t="shared" si="11"/>
        <v>70</v>
      </c>
      <c r="BR15">
        <f t="shared" si="12"/>
        <v>-20</v>
      </c>
      <c r="BS15">
        <f t="shared" si="13"/>
        <v>120</v>
      </c>
      <c r="BT15" s="2">
        <v>-1399.2</v>
      </c>
      <c r="BU15" s="2">
        <f t="shared" si="14"/>
        <v>120.7999999999995</v>
      </c>
      <c r="BV15" s="23">
        <f t="shared" si="15"/>
        <v>-19.950000000000045</v>
      </c>
      <c r="BW15" s="6">
        <f t="shared" si="16"/>
        <v>-0.79999999999949978</v>
      </c>
      <c r="BX15" s="12">
        <f t="shared" si="17"/>
        <v>-4.9999999999954525E-2</v>
      </c>
      <c r="BY15" s="12"/>
      <c r="BZ15" s="20">
        <f t="shared" si="49"/>
        <v>9.9999999999909051E-3</v>
      </c>
      <c r="CB15">
        <f t="shared" si="18"/>
        <v>70</v>
      </c>
      <c r="CC15">
        <f t="shared" si="19"/>
        <v>-20</v>
      </c>
      <c r="CD15">
        <f t="shared" si="20"/>
        <v>120</v>
      </c>
      <c r="CE15" s="2">
        <v>-1399.2</v>
      </c>
      <c r="CF15" s="2">
        <f t="shared" si="21"/>
        <v>120.79999999999995</v>
      </c>
      <c r="CG15" s="23">
        <f t="shared" si="22"/>
        <v>-19.940000000000055</v>
      </c>
      <c r="CH15" s="6">
        <f t="shared" si="23"/>
        <v>-0.79999999999995453</v>
      </c>
      <c r="CI15" s="12">
        <f t="shared" si="24"/>
        <v>-5.999999999994543E-2</v>
      </c>
      <c r="CK15" s="20">
        <f t="shared" si="50"/>
        <v>-4.9999999998817657E-3</v>
      </c>
      <c r="CM15">
        <f t="shared" si="25"/>
        <v>70</v>
      </c>
      <c r="CN15">
        <f t="shared" si="26"/>
        <v>-20</v>
      </c>
      <c r="CO15">
        <f t="shared" si="27"/>
        <v>120</v>
      </c>
      <c r="CP15" s="2">
        <v>-1399.2</v>
      </c>
      <c r="CQ15" s="2">
        <f t="shared" si="28"/>
        <v>120.79999999999973</v>
      </c>
      <c r="CR15" s="23">
        <f t="shared" si="29"/>
        <v>-19.944999999999936</v>
      </c>
      <c r="CS15" s="6">
        <f t="shared" si="30"/>
        <v>-0.79999999999972715</v>
      </c>
      <c r="CT15" s="12">
        <f t="shared" si="31"/>
        <v>-5.5000000000063665E-2</v>
      </c>
      <c r="CV15" s="20">
        <f t="shared" si="51"/>
        <v>-1.5000000000100044E-2</v>
      </c>
      <c r="CX15">
        <f t="shared" si="32"/>
        <v>70</v>
      </c>
      <c r="CY15">
        <f t="shared" si="33"/>
        <v>-20</v>
      </c>
      <c r="CZ15">
        <f t="shared" si="34"/>
        <v>120</v>
      </c>
      <c r="DA15" s="2">
        <v>-1399.21</v>
      </c>
      <c r="DB15" s="2">
        <f t="shared" si="35"/>
        <v>120.78999999999951</v>
      </c>
      <c r="DC15" s="23">
        <f t="shared" si="36"/>
        <v>-19.960000000000036</v>
      </c>
      <c r="DD15" s="6">
        <f t="shared" si="37"/>
        <v>-0.78999999999950887</v>
      </c>
      <c r="DE15" s="12">
        <f t="shared" si="38"/>
        <v>-3.999999999996362E-2</v>
      </c>
    </row>
    <row r="16" spans="1:109" x14ac:dyDescent="0.45">
      <c r="B16">
        <f t="shared" si="52"/>
        <v>8</v>
      </c>
      <c r="C16">
        <v>20</v>
      </c>
      <c r="D16">
        <f t="shared" si="53"/>
        <v>160</v>
      </c>
      <c r="E16" s="2">
        <v>160.755</v>
      </c>
      <c r="F16" s="23">
        <f t="shared" si="54"/>
        <v>20.064999999999998</v>
      </c>
      <c r="G16" s="6">
        <f t="shared" si="39"/>
        <v>0.75499999999999545</v>
      </c>
      <c r="H16" s="12">
        <f t="shared" si="55"/>
        <v>6.4999999999997726E-2</v>
      </c>
      <c r="J16" s="20">
        <f t="shared" si="0"/>
        <v>-9.9999999999909051E-3</v>
      </c>
      <c r="K16" s="2"/>
      <c r="L16">
        <f t="shared" si="56"/>
        <v>8</v>
      </c>
      <c r="M16">
        <v>20</v>
      </c>
      <c r="N16">
        <f t="shared" si="57"/>
        <v>160</v>
      </c>
      <c r="O16" s="2">
        <v>160.72</v>
      </c>
      <c r="P16" s="23">
        <f t="shared" si="58"/>
        <v>20.055000000000007</v>
      </c>
      <c r="Q16" s="6">
        <f t="shared" si="40"/>
        <v>0.71999999999999886</v>
      </c>
      <c r="R16" s="27">
        <f t="shared" si="59"/>
        <v>5.5000000000006821E-2</v>
      </c>
      <c r="S16" s="27"/>
      <c r="T16" s="20">
        <f t="shared" si="1"/>
        <v>-4.5000000000015916E-2</v>
      </c>
      <c r="U16" s="2"/>
      <c r="V16">
        <f t="shared" si="60"/>
        <v>8</v>
      </c>
      <c r="W16">
        <v>20</v>
      </c>
      <c r="X16">
        <f t="shared" si="61"/>
        <v>160</v>
      </c>
      <c r="Y16" s="2">
        <v>160.66499999999999</v>
      </c>
      <c r="Z16" s="23">
        <f t="shared" si="62"/>
        <v>20.009999999999991</v>
      </c>
      <c r="AA16" s="6">
        <f t="shared" si="41"/>
        <v>0.66499999999999204</v>
      </c>
      <c r="AB16" s="27">
        <f t="shared" si="63"/>
        <v>9.9999999999909051E-3</v>
      </c>
      <c r="AC16" s="27"/>
      <c r="AD16" s="20">
        <f t="shared" si="2"/>
        <v>1.5000000000014779E-2</v>
      </c>
      <c r="AE16" s="2"/>
      <c r="AF16">
        <f t="shared" si="64"/>
        <v>8</v>
      </c>
      <c r="AG16">
        <v>20</v>
      </c>
      <c r="AH16">
        <f t="shared" si="65"/>
        <v>160</v>
      </c>
      <c r="AI16" s="2">
        <v>160.66499999999999</v>
      </c>
      <c r="AJ16" s="23">
        <f t="shared" si="66"/>
        <v>20.025000000000006</v>
      </c>
      <c r="AK16" s="6">
        <f t="shared" si="42"/>
        <v>0.66499999999999204</v>
      </c>
      <c r="AL16" s="27">
        <f t="shared" si="67"/>
        <v>2.5000000000005684E-2</v>
      </c>
      <c r="AM16" s="27"/>
      <c r="AN16" s="20">
        <f t="shared" si="3"/>
        <v>-9.4999999999998863E-2</v>
      </c>
      <c r="AO16" s="2"/>
      <c r="AP16">
        <f t="shared" si="68"/>
        <v>8</v>
      </c>
      <c r="AQ16">
        <v>20</v>
      </c>
      <c r="AR16">
        <f t="shared" si="69"/>
        <v>160</v>
      </c>
      <c r="AS16" s="2">
        <v>160.63</v>
      </c>
      <c r="AT16" s="23">
        <f t="shared" si="70"/>
        <v>19.930000000000007</v>
      </c>
      <c r="AU16" s="6">
        <f t="shared" si="43"/>
        <v>0.62999999999999545</v>
      </c>
      <c r="AV16" s="27">
        <f t="shared" si="71"/>
        <v>-6.9999999999993179E-2</v>
      </c>
      <c r="AW16" s="27"/>
      <c r="AX16" s="27"/>
      <c r="AY16" s="2">
        <f t="shared" si="44"/>
        <v>160.68699999999998</v>
      </c>
      <c r="AZ16" s="23">
        <f t="shared" si="45"/>
        <v>20.017000000000003</v>
      </c>
      <c r="BA16" s="6">
        <f t="shared" si="46"/>
        <v>0.68699999999999473</v>
      </c>
      <c r="BB16" s="27">
        <f t="shared" si="47"/>
        <v>1.700000000000159E-2</v>
      </c>
      <c r="BC16" s="27"/>
      <c r="BD16" s="36"/>
      <c r="BF16">
        <f t="shared" si="4"/>
        <v>69</v>
      </c>
      <c r="BG16">
        <f t="shared" si="5"/>
        <v>-20</v>
      </c>
      <c r="BH16">
        <f t="shared" si="6"/>
        <v>140</v>
      </c>
      <c r="BI16" s="2">
        <v>-1379.2149999999999</v>
      </c>
      <c r="BJ16" s="2">
        <f t="shared" si="7"/>
        <v>140.78500000000042</v>
      </c>
      <c r="BK16" s="23">
        <f t="shared" si="8"/>
        <v>-19.974999999999909</v>
      </c>
      <c r="BL16" s="6">
        <f t="shared" si="9"/>
        <v>-0.78500000000042292</v>
      </c>
      <c r="BM16" s="12">
        <f t="shared" si="10"/>
        <v>-2.5000000000090949E-2</v>
      </c>
      <c r="BO16" s="20">
        <f t="shared" si="48"/>
        <v>-9.9999999999909051E-3</v>
      </c>
      <c r="BQ16">
        <f t="shared" si="11"/>
        <v>69</v>
      </c>
      <c r="BR16">
        <f t="shared" si="12"/>
        <v>-20</v>
      </c>
      <c r="BS16">
        <f t="shared" si="13"/>
        <v>140</v>
      </c>
      <c r="BT16" s="2">
        <v>-1379.25</v>
      </c>
      <c r="BU16" s="2">
        <f t="shared" si="14"/>
        <v>140.74999999999955</v>
      </c>
      <c r="BV16" s="23">
        <f t="shared" si="15"/>
        <v>-19.9849999999999</v>
      </c>
      <c r="BW16" s="6">
        <f t="shared" si="16"/>
        <v>-0.74999999999954525</v>
      </c>
      <c r="BX16" s="12">
        <f t="shared" si="17"/>
        <v>-1.5000000000100044E-2</v>
      </c>
      <c r="BY16" s="12"/>
      <c r="BZ16" s="20">
        <f t="shared" si="49"/>
        <v>9.9999999999909051E-3</v>
      </c>
      <c r="CB16">
        <f t="shared" si="18"/>
        <v>69</v>
      </c>
      <c r="CC16">
        <f t="shared" si="19"/>
        <v>-20</v>
      </c>
      <c r="CD16">
        <f t="shared" si="20"/>
        <v>140</v>
      </c>
      <c r="CE16" s="2">
        <v>-1379.26</v>
      </c>
      <c r="CF16" s="2">
        <f t="shared" si="21"/>
        <v>140.74</v>
      </c>
      <c r="CG16" s="23">
        <f t="shared" si="22"/>
        <v>-19.974999999999909</v>
      </c>
      <c r="CH16" s="6">
        <f t="shared" si="23"/>
        <v>-0.74000000000000909</v>
      </c>
      <c r="CI16" s="12">
        <f t="shared" si="24"/>
        <v>-2.5000000000090949E-2</v>
      </c>
      <c r="CK16" s="20">
        <f t="shared" si="50"/>
        <v>-1.0000000000218279E-2</v>
      </c>
      <c r="CM16">
        <f t="shared" si="25"/>
        <v>69</v>
      </c>
      <c r="CN16">
        <f t="shared" si="26"/>
        <v>-20</v>
      </c>
      <c r="CO16">
        <f t="shared" si="27"/>
        <v>140</v>
      </c>
      <c r="CP16" s="2">
        <v>-1379.2550000000001</v>
      </c>
      <c r="CQ16" s="2">
        <f t="shared" si="28"/>
        <v>140.74499999999966</v>
      </c>
      <c r="CR16" s="23">
        <f t="shared" si="29"/>
        <v>-19.985000000000127</v>
      </c>
      <c r="CS16" s="6">
        <f t="shared" si="30"/>
        <v>-0.74499999999966349</v>
      </c>
      <c r="CT16" s="12">
        <f t="shared" si="31"/>
        <v>-1.4999999999872671E-2</v>
      </c>
      <c r="CV16" s="20">
        <f t="shared" si="51"/>
        <v>1.0000000000218279E-2</v>
      </c>
      <c r="CX16">
        <f t="shared" si="32"/>
        <v>69</v>
      </c>
      <c r="CY16">
        <f t="shared" si="33"/>
        <v>-20</v>
      </c>
      <c r="CZ16">
        <f t="shared" si="34"/>
        <v>140</v>
      </c>
      <c r="DA16" s="2">
        <v>-1379.25</v>
      </c>
      <c r="DB16" s="2">
        <f t="shared" si="35"/>
        <v>140.74999999999955</v>
      </c>
      <c r="DC16" s="23">
        <f t="shared" si="36"/>
        <v>-19.974999999999909</v>
      </c>
      <c r="DD16" s="6">
        <f t="shared" si="37"/>
        <v>-0.74999999999954525</v>
      </c>
      <c r="DE16" s="12">
        <f t="shared" si="38"/>
        <v>-2.5000000000090949E-2</v>
      </c>
    </row>
    <row r="17" spans="2:121" x14ac:dyDescent="0.45">
      <c r="B17">
        <f t="shared" si="52"/>
        <v>9</v>
      </c>
      <c r="C17">
        <v>20</v>
      </c>
      <c r="D17">
        <f t="shared" si="53"/>
        <v>180</v>
      </c>
      <c r="E17" s="2">
        <v>180.77500000000001</v>
      </c>
      <c r="F17" s="23">
        <f t="shared" si="54"/>
        <v>20.02000000000001</v>
      </c>
      <c r="G17" s="6">
        <f t="shared" si="39"/>
        <v>0.77500000000000568</v>
      </c>
      <c r="H17" s="12">
        <f t="shared" si="55"/>
        <v>2.0000000000010232E-2</v>
      </c>
      <c r="J17" s="20">
        <f t="shared" si="0"/>
        <v>3.0000000000001137E-2</v>
      </c>
      <c r="K17" s="2"/>
      <c r="L17">
        <f t="shared" si="56"/>
        <v>9</v>
      </c>
      <c r="M17">
        <v>20</v>
      </c>
      <c r="N17">
        <f t="shared" si="57"/>
        <v>180</v>
      </c>
      <c r="O17" s="2">
        <v>180.77</v>
      </c>
      <c r="P17" s="23">
        <f t="shared" si="58"/>
        <v>20.050000000000011</v>
      </c>
      <c r="Q17" s="6">
        <f t="shared" si="40"/>
        <v>0.77000000000001023</v>
      </c>
      <c r="R17" s="27">
        <f t="shared" si="59"/>
        <v>5.0000000000011369E-2</v>
      </c>
      <c r="S17" s="27"/>
      <c r="T17" s="20">
        <f t="shared" si="1"/>
        <v>2.0000000000010232E-2</v>
      </c>
      <c r="U17" s="2"/>
      <c r="V17">
        <f t="shared" si="60"/>
        <v>9</v>
      </c>
      <c r="W17">
        <v>20</v>
      </c>
      <c r="X17">
        <f t="shared" si="61"/>
        <v>180</v>
      </c>
      <c r="Y17" s="2">
        <v>180.73500000000001</v>
      </c>
      <c r="Z17" s="23">
        <f t="shared" si="62"/>
        <v>20.070000000000022</v>
      </c>
      <c r="AA17" s="6">
        <f t="shared" si="41"/>
        <v>0.73500000000001364</v>
      </c>
      <c r="AB17" s="27">
        <f t="shared" si="63"/>
        <v>7.00000000000216E-2</v>
      </c>
      <c r="AC17" s="27"/>
      <c r="AD17" s="20">
        <f t="shared" si="2"/>
        <v>1.999999999998181E-2</v>
      </c>
      <c r="AE17" s="2"/>
      <c r="AF17">
        <f t="shared" si="64"/>
        <v>9</v>
      </c>
      <c r="AG17">
        <v>20</v>
      </c>
      <c r="AH17">
        <f t="shared" si="65"/>
        <v>180</v>
      </c>
      <c r="AI17" s="2">
        <v>180.755</v>
      </c>
      <c r="AJ17" s="23">
        <f t="shared" si="66"/>
        <v>20.090000000000003</v>
      </c>
      <c r="AK17" s="6">
        <f t="shared" si="42"/>
        <v>0.75499999999999545</v>
      </c>
      <c r="AL17" s="27">
        <f t="shared" si="67"/>
        <v>9.0000000000003411E-2</v>
      </c>
      <c r="AM17" s="27"/>
      <c r="AN17" s="20">
        <f t="shared" si="3"/>
        <v>3.4999999999996589E-2</v>
      </c>
      <c r="AO17" s="2"/>
      <c r="AP17">
        <f t="shared" si="68"/>
        <v>9</v>
      </c>
      <c r="AQ17">
        <v>20</v>
      </c>
      <c r="AR17">
        <f t="shared" si="69"/>
        <v>180</v>
      </c>
      <c r="AS17" s="2">
        <v>180.755</v>
      </c>
      <c r="AT17" s="23">
        <f t="shared" si="70"/>
        <v>20.125</v>
      </c>
      <c r="AU17" s="6">
        <f t="shared" si="43"/>
        <v>0.75499999999999545</v>
      </c>
      <c r="AV17" s="27">
        <f t="shared" si="71"/>
        <v>0.125</v>
      </c>
      <c r="AW17" s="27"/>
      <c r="AX17" s="27"/>
      <c r="AY17" s="2">
        <f t="shared" si="44"/>
        <v>180.75799999999998</v>
      </c>
      <c r="AZ17" s="23">
        <f t="shared" si="45"/>
        <v>20.071000000000009</v>
      </c>
      <c r="BA17" s="6">
        <f t="shared" si="46"/>
        <v>0.75800000000000411</v>
      </c>
      <c r="BB17" s="27">
        <f t="shared" si="47"/>
        <v>7.100000000000932E-2</v>
      </c>
      <c r="BC17" s="27"/>
      <c r="BD17" s="36"/>
      <c r="BF17">
        <f t="shared" si="4"/>
        <v>68</v>
      </c>
      <c r="BG17">
        <f t="shared" si="5"/>
        <v>-20</v>
      </c>
      <c r="BH17">
        <f t="shared" si="6"/>
        <v>160</v>
      </c>
      <c r="BI17" s="2">
        <v>-1359.24</v>
      </c>
      <c r="BJ17" s="2">
        <f t="shared" si="7"/>
        <v>160.76000000000033</v>
      </c>
      <c r="BK17" s="23">
        <f t="shared" si="8"/>
        <v>-20</v>
      </c>
      <c r="BL17" s="6">
        <f t="shared" si="9"/>
        <v>-0.76000000000033197</v>
      </c>
      <c r="BM17" s="12">
        <f t="shared" si="10"/>
        <v>0</v>
      </c>
      <c r="BO17" s="20">
        <f t="shared" si="48"/>
        <v>4.9999999998817657E-3</v>
      </c>
      <c r="BQ17">
        <f t="shared" si="11"/>
        <v>68</v>
      </c>
      <c r="BR17">
        <f t="shared" si="12"/>
        <v>-20</v>
      </c>
      <c r="BS17">
        <f t="shared" si="13"/>
        <v>160</v>
      </c>
      <c r="BT17" s="2">
        <v>-1359.2650000000001</v>
      </c>
      <c r="BU17" s="2">
        <f t="shared" si="14"/>
        <v>160.73499999999945</v>
      </c>
      <c r="BV17" s="23">
        <f t="shared" si="15"/>
        <v>-19.995000000000118</v>
      </c>
      <c r="BW17" s="6">
        <f t="shared" si="16"/>
        <v>-0.73499999999944521</v>
      </c>
      <c r="BX17" s="12">
        <f t="shared" si="17"/>
        <v>-4.9999999998817657E-3</v>
      </c>
      <c r="BY17" s="12"/>
      <c r="BZ17" s="20">
        <f t="shared" si="49"/>
        <v>0</v>
      </c>
      <c r="CB17">
        <f t="shared" si="18"/>
        <v>68</v>
      </c>
      <c r="CC17">
        <f t="shared" si="19"/>
        <v>-20</v>
      </c>
      <c r="CD17">
        <f t="shared" si="20"/>
        <v>160</v>
      </c>
      <c r="CE17" s="2">
        <v>-1359.2850000000001</v>
      </c>
      <c r="CF17" s="2">
        <f t="shared" si="21"/>
        <v>160.71499999999992</v>
      </c>
      <c r="CG17" s="23">
        <f t="shared" si="22"/>
        <v>-19.995000000000118</v>
      </c>
      <c r="CH17" s="6">
        <f t="shared" si="23"/>
        <v>-0.71499999999991815</v>
      </c>
      <c r="CI17" s="12">
        <f t="shared" si="24"/>
        <v>-4.9999999998817657E-3</v>
      </c>
      <c r="CK17" s="20">
        <f t="shared" si="50"/>
        <v>5.0000000001091394E-3</v>
      </c>
      <c r="CM17">
        <f t="shared" si="25"/>
        <v>68</v>
      </c>
      <c r="CN17">
        <f t="shared" si="26"/>
        <v>-20</v>
      </c>
      <c r="CO17">
        <f t="shared" si="27"/>
        <v>160</v>
      </c>
      <c r="CP17" s="2">
        <v>-1359.27</v>
      </c>
      <c r="CQ17" s="2">
        <f t="shared" si="28"/>
        <v>160.72999999999979</v>
      </c>
      <c r="CR17" s="23">
        <f t="shared" si="29"/>
        <v>-19.990000000000009</v>
      </c>
      <c r="CS17" s="6">
        <f t="shared" si="30"/>
        <v>-0.72999999999979082</v>
      </c>
      <c r="CT17" s="12">
        <f t="shared" si="31"/>
        <v>-9.9999999999909051E-3</v>
      </c>
      <c r="CV17" s="20">
        <f t="shared" si="51"/>
        <v>4.9999999998817657E-3</v>
      </c>
      <c r="CX17">
        <f t="shared" si="32"/>
        <v>68</v>
      </c>
      <c r="CY17">
        <f t="shared" si="33"/>
        <v>-20</v>
      </c>
      <c r="CZ17">
        <f t="shared" si="34"/>
        <v>160</v>
      </c>
      <c r="DA17" s="2">
        <v>-1359.2750000000001</v>
      </c>
      <c r="DB17" s="2">
        <f t="shared" si="35"/>
        <v>160.72499999999945</v>
      </c>
      <c r="DC17" s="23">
        <f t="shared" si="36"/>
        <v>-19.985000000000127</v>
      </c>
      <c r="DD17" s="6">
        <f t="shared" si="37"/>
        <v>-0.7249999999994543</v>
      </c>
      <c r="DE17" s="12">
        <f t="shared" si="38"/>
        <v>-1.4999999999872671E-2</v>
      </c>
    </row>
    <row r="18" spans="2:121" x14ac:dyDescent="0.45">
      <c r="B18">
        <f t="shared" si="52"/>
        <v>10</v>
      </c>
      <c r="C18">
        <v>20</v>
      </c>
      <c r="D18">
        <f t="shared" si="53"/>
        <v>200</v>
      </c>
      <c r="E18" s="2">
        <v>200.92</v>
      </c>
      <c r="F18" s="23">
        <f t="shared" si="54"/>
        <v>20.144999999999982</v>
      </c>
      <c r="G18" s="6">
        <f t="shared" si="39"/>
        <v>0.91999999999998749</v>
      </c>
      <c r="H18" s="12">
        <f t="shared" si="55"/>
        <v>0.14499999999998181</v>
      </c>
      <c r="J18" s="20">
        <f t="shared" si="0"/>
        <v>-4.9999999999954525E-3</v>
      </c>
      <c r="K18" s="2"/>
      <c r="L18">
        <f t="shared" si="56"/>
        <v>10</v>
      </c>
      <c r="M18">
        <v>20</v>
      </c>
      <c r="N18">
        <f t="shared" si="57"/>
        <v>200</v>
      </c>
      <c r="O18" s="2">
        <v>200.91</v>
      </c>
      <c r="P18" s="23">
        <f t="shared" si="58"/>
        <v>20.139999999999986</v>
      </c>
      <c r="Q18" s="6">
        <f t="shared" si="40"/>
        <v>0.90999999999999659</v>
      </c>
      <c r="R18" s="27">
        <f t="shared" si="59"/>
        <v>0.13999999999998636</v>
      </c>
      <c r="S18" s="27"/>
      <c r="T18" s="20">
        <f t="shared" si="1"/>
        <v>-1.4999999999986358E-2</v>
      </c>
      <c r="U18" s="2"/>
      <c r="V18">
        <f t="shared" si="60"/>
        <v>10</v>
      </c>
      <c r="W18">
        <v>20</v>
      </c>
      <c r="X18">
        <f t="shared" si="61"/>
        <v>200</v>
      </c>
      <c r="Y18" s="2">
        <v>200.86</v>
      </c>
      <c r="Z18" s="23">
        <f t="shared" si="62"/>
        <v>20.125</v>
      </c>
      <c r="AA18" s="6">
        <f t="shared" si="41"/>
        <v>0.86000000000001364</v>
      </c>
      <c r="AB18" s="27">
        <f t="shared" si="63"/>
        <v>0.125</v>
      </c>
      <c r="AC18" s="27"/>
      <c r="AD18" s="20">
        <f t="shared" si="2"/>
        <v>-4.4999999999987494E-2</v>
      </c>
      <c r="AE18" s="2"/>
      <c r="AF18">
        <f t="shared" si="64"/>
        <v>10</v>
      </c>
      <c r="AG18">
        <v>20</v>
      </c>
      <c r="AH18">
        <f t="shared" si="65"/>
        <v>200</v>
      </c>
      <c r="AI18" s="2">
        <v>200.83500000000001</v>
      </c>
      <c r="AJ18" s="23">
        <f t="shared" si="66"/>
        <v>20.080000000000013</v>
      </c>
      <c r="AK18" s="6">
        <f t="shared" si="42"/>
        <v>0.83500000000000796</v>
      </c>
      <c r="AL18" s="27">
        <f t="shared" si="67"/>
        <v>8.0000000000012506E-2</v>
      </c>
      <c r="AM18" s="27"/>
      <c r="AN18" s="20">
        <f t="shared" si="3"/>
        <v>-1.0000000000019327E-2</v>
      </c>
      <c r="AO18" s="2"/>
      <c r="AP18">
        <f t="shared" si="68"/>
        <v>10</v>
      </c>
      <c r="AQ18">
        <v>20</v>
      </c>
      <c r="AR18">
        <f t="shared" si="69"/>
        <v>200</v>
      </c>
      <c r="AS18" s="2">
        <v>200.82499999999999</v>
      </c>
      <c r="AT18" s="23">
        <f t="shared" si="70"/>
        <v>20.069999999999993</v>
      </c>
      <c r="AU18" s="6">
        <f t="shared" si="43"/>
        <v>0.82499999999998863</v>
      </c>
      <c r="AV18" s="27">
        <f t="shared" si="71"/>
        <v>6.9999999999993179E-2</v>
      </c>
      <c r="AW18" s="27"/>
      <c r="AX18" s="27"/>
      <c r="AY18" s="2">
        <f t="shared" si="44"/>
        <v>200.87000000000003</v>
      </c>
      <c r="AZ18" s="23">
        <f t="shared" si="45"/>
        <v>20.111999999999995</v>
      </c>
      <c r="BA18" s="6">
        <f t="shared" si="46"/>
        <v>0.86999999999999889</v>
      </c>
      <c r="BB18" s="27">
        <f t="shared" si="47"/>
        <v>0.11199999999999477</v>
      </c>
      <c r="BC18" s="27"/>
      <c r="BD18" s="36"/>
      <c r="BF18">
        <f t="shared" si="4"/>
        <v>67</v>
      </c>
      <c r="BG18">
        <f t="shared" si="5"/>
        <v>-20</v>
      </c>
      <c r="BH18">
        <f t="shared" si="6"/>
        <v>180</v>
      </c>
      <c r="BI18" s="2">
        <v>-1339.24</v>
      </c>
      <c r="BJ18" s="2">
        <f t="shared" si="7"/>
        <v>180.76000000000033</v>
      </c>
      <c r="BK18" s="23">
        <f t="shared" si="8"/>
        <v>-20.079999999999927</v>
      </c>
      <c r="BL18" s="6">
        <f t="shared" si="9"/>
        <v>-0.76000000000033197</v>
      </c>
      <c r="BM18" s="12">
        <f t="shared" si="10"/>
        <v>7.999999999992724E-2</v>
      </c>
      <c r="BO18" s="20">
        <f t="shared" si="48"/>
        <v>0</v>
      </c>
      <c r="BQ18">
        <f t="shared" si="11"/>
        <v>67</v>
      </c>
      <c r="BR18">
        <f t="shared" si="12"/>
        <v>-20</v>
      </c>
      <c r="BS18">
        <f t="shared" si="13"/>
        <v>180</v>
      </c>
      <c r="BT18" s="2">
        <v>-1339.27</v>
      </c>
      <c r="BU18" s="2">
        <f t="shared" si="14"/>
        <v>180.72999999999956</v>
      </c>
      <c r="BV18" s="23">
        <f t="shared" si="15"/>
        <v>-20.079999999999927</v>
      </c>
      <c r="BW18" s="6">
        <f t="shared" si="16"/>
        <v>-0.72999999999956344</v>
      </c>
      <c r="BX18" s="12">
        <f t="shared" si="17"/>
        <v>7.999999999992724E-2</v>
      </c>
      <c r="BY18" s="12"/>
      <c r="BZ18" s="20">
        <f t="shared" si="49"/>
        <v>-9.9999999999909051E-3</v>
      </c>
      <c r="CB18">
        <f t="shared" si="18"/>
        <v>67</v>
      </c>
      <c r="CC18">
        <f t="shared" si="19"/>
        <v>-20</v>
      </c>
      <c r="CD18">
        <f t="shared" si="20"/>
        <v>180</v>
      </c>
      <c r="CE18" s="2">
        <v>-1339.29</v>
      </c>
      <c r="CF18" s="2">
        <f t="shared" si="21"/>
        <v>180.71000000000004</v>
      </c>
      <c r="CG18" s="23">
        <f t="shared" si="22"/>
        <v>-20.089999999999918</v>
      </c>
      <c r="CH18" s="6">
        <f t="shared" si="23"/>
        <v>-0.71000000000003638</v>
      </c>
      <c r="CI18" s="12">
        <f t="shared" si="24"/>
        <v>8.9999999999918145E-2</v>
      </c>
      <c r="CK18" s="20">
        <f t="shared" si="50"/>
        <v>9.9999999999909051E-3</v>
      </c>
      <c r="CM18">
        <f t="shared" si="25"/>
        <v>67</v>
      </c>
      <c r="CN18">
        <f t="shared" si="26"/>
        <v>-20</v>
      </c>
      <c r="CO18">
        <f t="shared" si="27"/>
        <v>180</v>
      </c>
      <c r="CP18" s="2">
        <v>-1339.28</v>
      </c>
      <c r="CQ18" s="2">
        <f t="shared" si="28"/>
        <v>180.7199999999998</v>
      </c>
      <c r="CR18" s="23">
        <f t="shared" si="29"/>
        <v>-20.079999999999927</v>
      </c>
      <c r="CS18" s="6">
        <f t="shared" si="30"/>
        <v>-0.71999999999979991</v>
      </c>
      <c r="CT18" s="12">
        <f t="shared" si="31"/>
        <v>7.999999999992724E-2</v>
      </c>
      <c r="CV18" s="20">
        <f t="shared" si="51"/>
        <v>0</v>
      </c>
      <c r="CX18">
        <f t="shared" si="32"/>
        <v>67</v>
      </c>
      <c r="CY18">
        <f t="shared" si="33"/>
        <v>-20</v>
      </c>
      <c r="CZ18">
        <f t="shared" si="34"/>
        <v>180</v>
      </c>
      <c r="DA18" s="2">
        <v>-1339.29</v>
      </c>
      <c r="DB18" s="2">
        <f t="shared" si="35"/>
        <v>180.70999999999958</v>
      </c>
      <c r="DC18" s="23">
        <f t="shared" si="36"/>
        <v>-20.079999999999927</v>
      </c>
      <c r="DD18" s="6">
        <f t="shared" si="37"/>
        <v>-0.70999999999958163</v>
      </c>
      <c r="DE18" s="12">
        <f t="shared" si="38"/>
        <v>7.999999999992724E-2</v>
      </c>
    </row>
    <row r="19" spans="2:121" x14ac:dyDescent="0.45">
      <c r="B19">
        <f t="shared" si="52"/>
        <v>11</v>
      </c>
      <c r="C19">
        <v>20</v>
      </c>
      <c r="D19">
        <f t="shared" si="53"/>
        <v>220</v>
      </c>
      <c r="E19" s="2">
        <v>220.965</v>
      </c>
      <c r="F19" s="23">
        <f t="shared" si="54"/>
        <v>20.045000000000016</v>
      </c>
      <c r="G19" s="6">
        <f t="shared" si="39"/>
        <v>0.96500000000000341</v>
      </c>
      <c r="H19" s="12">
        <f t="shared" si="55"/>
        <v>4.5000000000015916E-2</v>
      </c>
      <c r="J19" s="20">
        <f t="shared" si="0"/>
        <v>-3.0000000000001137E-2</v>
      </c>
      <c r="K19" s="2"/>
      <c r="L19">
        <f t="shared" si="56"/>
        <v>11</v>
      </c>
      <c r="M19">
        <v>20</v>
      </c>
      <c r="N19">
        <f t="shared" si="57"/>
        <v>220</v>
      </c>
      <c r="O19" s="2">
        <v>220.92500000000001</v>
      </c>
      <c r="P19" s="23">
        <f t="shared" si="58"/>
        <v>20.015000000000015</v>
      </c>
      <c r="Q19" s="6">
        <f t="shared" si="40"/>
        <v>0.92500000000001137</v>
      </c>
      <c r="R19" s="27">
        <f t="shared" si="59"/>
        <v>1.5000000000014779E-2</v>
      </c>
      <c r="S19" s="27"/>
      <c r="T19" s="20">
        <f t="shared" si="1"/>
        <v>6.9999999999964757E-2</v>
      </c>
      <c r="U19" s="2"/>
      <c r="V19">
        <f t="shared" si="60"/>
        <v>11</v>
      </c>
      <c r="W19">
        <v>20</v>
      </c>
      <c r="X19">
        <f t="shared" si="61"/>
        <v>220</v>
      </c>
      <c r="Y19" s="2">
        <v>220.94499999999999</v>
      </c>
      <c r="Z19" s="23">
        <f t="shared" si="62"/>
        <v>20.08499999999998</v>
      </c>
      <c r="AA19" s="6">
        <f t="shared" si="41"/>
        <v>0.94499999999999318</v>
      </c>
      <c r="AB19" s="27">
        <f t="shared" si="63"/>
        <v>8.4999999999979536E-2</v>
      </c>
      <c r="AC19" s="27"/>
      <c r="AD19" s="20">
        <f t="shared" si="2"/>
        <v>7.5000000000017053E-2</v>
      </c>
      <c r="AE19" s="2"/>
      <c r="AF19">
        <f t="shared" si="64"/>
        <v>11</v>
      </c>
      <c r="AG19">
        <v>20</v>
      </c>
      <c r="AH19">
        <f t="shared" si="65"/>
        <v>220</v>
      </c>
      <c r="AI19" s="2">
        <v>220.995</v>
      </c>
      <c r="AJ19" s="23">
        <f t="shared" si="66"/>
        <v>20.159999999999997</v>
      </c>
      <c r="AK19" s="6">
        <f t="shared" si="42"/>
        <v>0.99500000000000455</v>
      </c>
      <c r="AL19" s="27">
        <f t="shared" si="67"/>
        <v>0.15999999999999659</v>
      </c>
      <c r="AM19" s="27"/>
      <c r="AN19" s="20">
        <f t="shared" si="3"/>
        <v>-4.9999999999954525E-3</v>
      </c>
      <c r="AO19" s="2"/>
      <c r="AP19">
        <f t="shared" si="68"/>
        <v>11</v>
      </c>
      <c r="AQ19">
        <v>20</v>
      </c>
      <c r="AR19">
        <f t="shared" si="69"/>
        <v>220</v>
      </c>
      <c r="AS19" s="2">
        <v>220.98</v>
      </c>
      <c r="AT19" s="23">
        <f t="shared" si="70"/>
        <v>20.155000000000001</v>
      </c>
      <c r="AU19" s="6">
        <f t="shared" si="43"/>
        <v>0.97999999999998977</v>
      </c>
      <c r="AV19" s="27">
        <f t="shared" si="71"/>
        <v>0.15500000000000114</v>
      </c>
      <c r="AW19" s="27"/>
      <c r="AX19" s="27"/>
      <c r="AY19" s="2">
        <f t="shared" si="44"/>
        <v>220.96199999999999</v>
      </c>
      <c r="AZ19" s="23">
        <f t="shared" si="45"/>
        <v>20.092000000000002</v>
      </c>
      <c r="BA19" s="6">
        <f t="shared" si="46"/>
        <v>0.96200000000000041</v>
      </c>
      <c r="BB19" s="27">
        <f t="shared" si="47"/>
        <v>9.2000000000001594E-2</v>
      </c>
      <c r="BC19" s="27"/>
      <c r="BD19" s="36"/>
      <c r="BF19">
        <f t="shared" si="4"/>
        <v>66</v>
      </c>
      <c r="BG19">
        <f t="shared" si="5"/>
        <v>-20</v>
      </c>
      <c r="BH19">
        <f t="shared" si="6"/>
        <v>200</v>
      </c>
      <c r="BI19" s="2">
        <v>-1319.16</v>
      </c>
      <c r="BJ19" s="2">
        <f t="shared" si="7"/>
        <v>200.84000000000026</v>
      </c>
      <c r="BK19" s="23">
        <f t="shared" si="8"/>
        <v>-20.070000000000164</v>
      </c>
      <c r="BL19" s="6">
        <f t="shared" si="9"/>
        <v>-0.84000000000025921</v>
      </c>
      <c r="BM19" s="12">
        <f t="shared" si="10"/>
        <v>7.0000000000163709E-2</v>
      </c>
      <c r="BO19" s="20">
        <f t="shared" si="48"/>
        <v>5.0000000001091394E-3</v>
      </c>
      <c r="BQ19">
        <f t="shared" si="11"/>
        <v>66</v>
      </c>
      <c r="BR19">
        <f t="shared" si="12"/>
        <v>-20</v>
      </c>
      <c r="BS19">
        <f t="shared" si="13"/>
        <v>200</v>
      </c>
      <c r="BT19" s="2">
        <v>-1319.19</v>
      </c>
      <c r="BU19" s="2">
        <f t="shared" si="14"/>
        <v>200.80999999999949</v>
      </c>
      <c r="BV19" s="23">
        <f t="shared" si="15"/>
        <v>-20.065000000000055</v>
      </c>
      <c r="BW19" s="6">
        <f t="shared" si="16"/>
        <v>-0.80999999999949068</v>
      </c>
      <c r="BX19" s="12">
        <f t="shared" si="17"/>
        <v>6.500000000005457E-2</v>
      </c>
      <c r="BY19" s="12"/>
      <c r="BZ19" s="20">
        <f t="shared" si="49"/>
        <v>-4.9999999998817657E-3</v>
      </c>
      <c r="CB19">
        <f t="shared" si="18"/>
        <v>66</v>
      </c>
      <c r="CC19">
        <f t="shared" si="19"/>
        <v>-20</v>
      </c>
      <c r="CD19">
        <f t="shared" si="20"/>
        <v>200</v>
      </c>
      <c r="CE19" s="2">
        <v>-1319.2</v>
      </c>
      <c r="CF19" s="2">
        <f t="shared" si="21"/>
        <v>200.79999999999995</v>
      </c>
      <c r="CG19" s="23">
        <f t="shared" si="22"/>
        <v>-20.069999999999936</v>
      </c>
      <c r="CH19" s="6">
        <f t="shared" si="23"/>
        <v>-0.79999999999995453</v>
      </c>
      <c r="CI19" s="12">
        <f t="shared" si="24"/>
        <v>6.9999999999936335E-2</v>
      </c>
      <c r="CK19" s="20">
        <f t="shared" si="50"/>
        <v>4.9999999998817657E-3</v>
      </c>
      <c r="CM19">
        <f t="shared" si="25"/>
        <v>66</v>
      </c>
      <c r="CN19">
        <f t="shared" si="26"/>
        <v>-20</v>
      </c>
      <c r="CO19">
        <f t="shared" si="27"/>
        <v>200</v>
      </c>
      <c r="CP19" s="2">
        <v>-1319.2</v>
      </c>
      <c r="CQ19" s="2">
        <f t="shared" si="28"/>
        <v>200.79999999999973</v>
      </c>
      <c r="CR19" s="23">
        <f t="shared" si="29"/>
        <v>-20.065000000000055</v>
      </c>
      <c r="CS19" s="6">
        <f t="shared" si="30"/>
        <v>-0.79999999999972715</v>
      </c>
      <c r="CT19" s="12">
        <f t="shared" si="31"/>
        <v>6.500000000005457E-2</v>
      </c>
      <c r="CV19" s="20">
        <f t="shared" si="51"/>
        <v>-4.9999999998817657E-3</v>
      </c>
      <c r="CX19">
        <f t="shared" si="32"/>
        <v>66</v>
      </c>
      <c r="CY19">
        <f t="shared" si="33"/>
        <v>-20</v>
      </c>
      <c r="CZ19">
        <f t="shared" si="34"/>
        <v>200</v>
      </c>
      <c r="DA19" s="2">
        <v>-1319.21</v>
      </c>
      <c r="DB19" s="2">
        <f t="shared" si="35"/>
        <v>200.78999999999951</v>
      </c>
      <c r="DC19" s="23">
        <f t="shared" si="36"/>
        <v>-20.069999999999936</v>
      </c>
      <c r="DD19" s="6">
        <f t="shared" si="37"/>
        <v>-0.78999999999950887</v>
      </c>
      <c r="DE19" s="12">
        <f t="shared" si="38"/>
        <v>6.9999999999936335E-2</v>
      </c>
    </row>
    <row r="20" spans="2:121" x14ac:dyDescent="0.45">
      <c r="B20">
        <f t="shared" si="52"/>
        <v>12</v>
      </c>
      <c r="C20">
        <v>20</v>
      </c>
      <c r="D20">
        <f t="shared" si="53"/>
        <v>240</v>
      </c>
      <c r="E20" s="2">
        <v>241.02500000000001</v>
      </c>
      <c r="F20" s="23">
        <f t="shared" si="54"/>
        <v>20.060000000000002</v>
      </c>
      <c r="G20" s="6">
        <f t="shared" si="39"/>
        <v>1.0250000000000057</v>
      </c>
      <c r="H20" s="12">
        <f t="shared" si="55"/>
        <v>6.0000000000002274E-2</v>
      </c>
      <c r="J20" s="20">
        <f t="shared" si="0"/>
        <v>-1.0000000000019327E-2</v>
      </c>
      <c r="K20" s="2"/>
      <c r="L20">
        <f t="shared" si="56"/>
        <v>12</v>
      </c>
      <c r="M20">
        <v>20</v>
      </c>
      <c r="N20">
        <f t="shared" si="57"/>
        <v>240</v>
      </c>
      <c r="O20" s="2">
        <v>240.97499999999999</v>
      </c>
      <c r="P20" s="23">
        <f t="shared" si="58"/>
        <v>20.049999999999983</v>
      </c>
      <c r="Q20" s="6">
        <f t="shared" si="40"/>
        <v>0.97499999999999432</v>
      </c>
      <c r="R20" s="27">
        <f t="shared" si="59"/>
        <v>4.9999999999982947E-2</v>
      </c>
      <c r="S20" s="27"/>
      <c r="T20" s="20">
        <f t="shared" si="1"/>
        <v>-1.4999999999986358E-2</v>
      </c>
      <c r="U20" s="2"/>
      <c r="V20">
        <f t="shared" si="60"/>
        <v>12</v>
      </c>
      <c r="W20">
        <v>20</v>
      </c>
      <c r="X20">
        <f t="shared" si="61"/>
        <v>240</v>
      </c>
      <c r="Y20" s="2">
        <v>240.98</v>
      </c>
      <c r="Z20" s="23">
        <f t="shared" si="62"/>
        <v>20.034999999999997</v>
      </c>
      <c r="AA20" s="6">
        <f t="shared" si="41"/>
        <v>0.97999999999998977</v>
      </c>
      <c r="AB20" s="27">
        <f t="shared" si="63"/>
        <v>3.4999999999996589E-2</v>
      </c>
      <c r="AC20" s="27"/>
      <c r="AD20" s="20">
        <f t="shared" si="2"/>
        <v>-6.0000000000002274E-2</v>
      </c>
      <c r="AE20" s="2"/>
      <c r="AF20">
        <f t="shared" si="64"/>
        <v>12</v>
      </c>
      <c r="AG20">
        <v>20</v>
      </c>
      <c r="AH20">
        <f t="shared" si="65"/>
        <v>240</v>
      </c>
      <c r="AI20" s="2">
        <v>240.97</v>
      </c>
      <c r="AJ20" s="23">
        <f t="shared" si="66"/>
        <v>19.974999999999994</v>
      </c>
      <c r="AK20" s="6">
        <f t="shared" si="42"/>
        <v>0.96999999999999886</v>
      </c>
      <c r="AL20" s="27">
        <f t="shared" si="67"/>
        <v>-2.5000000000005684E-2</v>
      </c>
      <c r="AM20" s="27"/>
      <c r="AN20" s="20">
        <f t="shared" si="3"/>
        <v>3.0000000000029559E-2</v>
      </c>
      <c r="AO20" s="2"/>
      <c r="AP20">
        <f t="shared" si="68"/>
        <v>12</v>
      </c>
      <c r="AQ20">
        <v>20</v>
      </c>
      <c r="AR20">
        <f t="shared" si="69"/>
        <v>240</v>
      </c>
      <c r="AS20" s="2">
        <v>240.98500000000001</v>
      </c>
      <c r="AT20" s="23">
        <f t="shared" si="70"/>
        <v>20.005000000000024</v>
      </c>
      <c r="AU20" s="6">
        <f t="shared" si="43"/>
        <v>0.98500000000001364</v>
      </c>
      <c r="AV20" s="27">
        <f t="shared" si="71"/>
        <v>5.0000000000238742E-3</v>
      </c>
      <c r="AW20" s="27"/>
      <c r="AX20" s="27"/>
      <c r="AY20" s="2">
        <f t="shared" si="44"/>
        <v>240.98699999999999</v>
      </c>
      <c r="AZ20" s="23">
        <f t="shared" si="45"/>
        <v>20.024999999999999</v>
      </c>
      <c r="BA20" s="6">
        <f t="shared" si="46"/>
        <v>0.98700000000000043</v>
      </c>
      <c r="BB20" s="27">
        <f t="shared" si="47"/>
        <v>2.5000000000000001E-2</v>
      </c>
      <c r="BC20" s="27"/>
      <c r="BD20" s="36"/>
      <c r="BF20">
        <f t="shared" si="4"/>
        <v>65</v>
      </c>
      <c r="BG20">
        <f t="shared" si="5"/>
        <v>-20</v>
      </c>
      <c r="BH20">
        <f t="shared" si="6"/>
        <v>220</v>
      </c>
      <c r="BI20" s="2">
        <v>-1299.0899999999999</v>
      </c>
      <c r="BJ20" s="2">
        <f t="shared" si="7"/>
        <v>220.91000000000042</v>
      </c>
      <c r="BK20" s="23">
        <f t="shared" si="8"/>
        <v>-20.069999999999936</v>
      </c>
      <c r="BL20" s="6">
        <f t="shared" si="9"/>
        <v>-0.91000000000042292</v>
      </c>
      <c r="BM20" s="12">
        <f t="shared" si="10"/>
        <v>6.9999999999936335E-2</v>
      </c>
      <c r="BO20" s="20">
        <f t="shared" si="48"/>
        <v>2.4999999999863576E-2</v>
      </c>
      <c r="BQ20">
        <f t="shared" si="11"/>
        <v>65</v>
      </c>
      <c r="BR20">
        <f t="shared" si="12"/>
        <v>-20</v>
      </c>
      <c r="BS20">
        <f t="shared" si="13"/>
        <v>220</v>
      </c>
      <c r="BT20" s="2">
        <v>-1299.125</v>
      </c>
      <c r="BU20" s="2">
        <f t="shared" si="14"/>
        <v>220.87499999999955</v>
      </c>
      <c r="BV20" s="23">
        <f t="shared" si="15"/>
        <v>-20.045000000000073</v>
      </c>
      <c r="BW20" s="6">
        <f t="shared" si="16"/>
        <v>-0.87499999999954525</v>
      </c>
      <c r="BX20" s="12">
        <f t="shared" si="17"/>
        <v>4.500000000007276E-2</v>
      </c>
      <c r="BY20" s="12"/>
      <c r="BZ20" s="20">
        <f t="shared" si="49"/>
        <v>-5.0000000001091394E-3</v>
      </c>
      <c r="CB20">
        <f t="shared" si="18"/>
        <v>65</v>
      </c>
      <c r="CC20">
        <f t="shared" si="19"/>
        <v>-20</v>
      </c>
      <c r="CD20">
        <f t="shared" si="20"/>
        <v>220</v>
      </c>
      <c r="CE20" s="2">
        <v>-1299.1300000000001</v>
      </c>
      <c r="CF20" s="2">
        <f t="shared" si="21"/>
        <v>220.86999999999989</v>
      </c>
      <c r="CG20" s="23">
        <f t="shared" si="22"/>
        <v>-20.050000000000182</v>
      </c>
      <c r="CH20" s="6">
        <f t="shared" si="23"/>
        <v>-0.86999999999989086</v>
      </c>
      <c r="CI20" s="12">
        <f t="shared" si="24"/>
        <v>5.0000000000181899E-2</v>
      </c>
      <c r="CK20" s="20">
        <f t="shared" si="50"/>
        <v>-2.4999999999863576E-2</v>
      </c>
      <c r="CM20">
        <f t="shared" si="25"/>
        <v>65</v>
      </c>
      <c r="CN20">
        <f t="shared" si="26"/>
        <v>-20</v>
      </c>
      <c r="CO20">
        <f t="shared" si="27"/>
        <v>220</v>
      </c>
      <c r="CP20" s="2">
        <v>-1299.135</v>
      </c>
      <c r="CQ20" s="2">
        <f t="shared" si="28"/>
        <v>220.86499999999978</v>
      </c>
      <c r="CR20" s="23">
        <f t="shared" si="29"/>
        <v>-20.075000000000045</v>
      </c>
      <c r="CS20" s="6">
        <f t="shared" si="30"/>
        <v>-0.86499999999978172</v>
      </c>
      <c r="CT20" s="12">
        <f t="shared" si="31"/>
        <v>7.5000000000045475E-2</v>
      </c>
      <c r="CV20" s="20">
        <f t="shared" si="51"/>
        <v>4.9999999998817657E-3</v>
      </c>
      <c r="CX20">
        <f t="shared" si="32"/>
        <v>65</v>
      </c>
      <c r="CY20">
        <f t="shared" si="33"/>
        <v>-20</v>
      </c>
      <c r="CZ20">
        <f t="shared" si="34"/>
        <v>220</v>
      </c>
      <c r="DA20" s="2">
        <v>-1299.1400000000001</v>
      </c>
      <c r="DB20" s="2">
        <f t="shared" si="35"/>
        <v>220.85999999999945</v>
      </c>
      <c r="DC20" s="23">
        <f t="shared" si="36"/>
        <v>-20.070000000000164</v>
      </c>
      <c r="DD20" s="6">
        <f t="shared" si="37"/>
        <v>-0.85999999999944521</v>
      </c>
      <c r="DE20" s="12">
        <f t="shared" si="38"/>
        <v>7.0000000000163709E-2</v>
      </c>
    </row>
    <row r="21" spans="2:121" x14ac:dyDescent="0.45">
      <c r="B21">
        <f t="shared" si="52"/>
        <v>13</v>
      </c>
      <c r="C21">
        <v>20</v>
      </c>
      <c r="D21">
        <f t="shared" si="53"/>
        <v>260</v>
      </c>
      <c r="E21" s="2">
        <v>260.99</v>
      </c>
      <c r="F21" s="23">
        <f t="shared" si="54"/>
        <v>19.965000000000003</v>
      </c>
      <c r="G21" s="6">
        <f t="shared" si="39"/>
        <v>0.99000000000000909</v>
      </c>
      <c r="H21" s="12">
        <f t="shared" si="55"/>
        <v>-3.4999999999996589E-2</v>
      </c>
      <c r="J21" s="20">
        <f t="shared" si="0"/>
        <v>3.5000000000025011E-2</v>
      </c>
      <c r="K21" s="2"/>
      <c r="L21">
        <f t="shared" si="56"/>
        <v>13</v>
      </c>
      <c r="M21">
        <v>20</v>
      </c>
      <c r="N21">
        <f t="shared" si="57"/>
        <v>260</v>
      </c>
      <c r="O21" s="2">
        <v>260.97500000000002</v>
      </c>
      <c r="P21" s="23">
        <f t="shared" si="58"/>
        <v>20.000000000000028</v>
      </c>
      <c r="Q21" s="6">
        <f t="shared" si="40"/>
        <v>0.97500000000002274</v>
      </c>
      <c r="R21" s="27">
        <f t="shared" si="59"/>
        <v>2.8421709430404007E-14</v>
      </c>
      <c r="S21" s="27"/>
      <c r="T21" s="20">
        <f t="shared" si="1"/>
        <v>4.9999999999954525E-2</v>
      </c>
      <c r="U21" s="2"/>
      <c r="V21">
        <f t="shared" si="60"/>
        <v>13</v>
      </c>
      <c r="W21">
        <v>20</v>
      </c>
      <c r="X21">
        <f t="shared" si="61"/>
        <v>260</v>
      </c>
      <c r="Y21" s="2">
        <v>261.02999999999997</v>
      </c>
      <c r="Z21" s="23">
        <f t="shared" si="62"/>
        <v>20.049999999999983</v>
      </c>
      <c r="AA21" s="6">
        <f t="shared" si="41"/>
        <v>1.0299999999999727</v>
      </c>
      <c r="AB21" s="27">
        <f t="shared" si="63"/>
        <v>4.9999999999982947E-2</v>
      </c>
      <c r="AC21" s="27"/>
      <c r="AD21" s="20">
        <f t="shared" si="2"/>
        <v>6.4999999999997726E-2</v>
      </c>
      <c r="AE21" s="2"/>
      <c r="AF21">
        <f t="shared" si="64"/>
        <v>13</v>
      </c>
      <c r="AG21">
        <v>20</v>
      </c>
      <c r="AH21">
        <f t="shared" si="65"/>
        <v>260</v>
      </c>
      <c r="AI21" s="2">
        <v>261.08499999999998</v>
      </c>
      <c r="AJ21" s="23">
        <f t="shared" si="66"/>
        <v>20.114999999999981</v>
      </c>
      <c r="AK21" s="6">
        <f t="shared" si="42"/>
        <v>1.0849999999999795</v>
      </c>
      <c r="AL21" s="27">
        <f t="shared" si="67"/>
        <v>0.11499999999998067</v>
      </c>
      <c r="AM21" s="27"/>
      <c r="AN21" s="20">
        <f t="shared" si="3"/>
        <v>-7.00000000000216E-2</v>
      </c>
      <c r="AO21" s="2"/>
      <c r="AP21">
        <f t="shared" si="68"/>
        <v>13</v>
      </c>
      <c r="AQ21">
        <v>20</v>
      </c>
      <c r="AR21">
        <f t="shared" si="69"/>
        <v>260</v>
      </c>
      <c r="AS21" s="2">
        <v>261.02999999999997</v>
      </c>
      <c r="AT21" s="23">
        <f t="shared" si="70"/>
        <v>20.044999999999959</v>
      </c>
      <c r="AU21" s="6">
        <f t="shared" si="43"/>
        <v>1.0299999999999727</v>
      </c>
      <c r="AV21" s="27">
        <f t="shared" si="71"/>
        <v>4.4999999999959073E-2</v>
      </c>
      <c r="AW21" s="27"/>
      <c r="AX21" s="27"/>
      <c r="AY21" s="2">
        <f t="shared" si="44"/>
        <v>261.02199999999999</v>
      </c>
      <c r="AZ21" s="23">
        <f t="shared" si="45"/>
        <v>20.034999999999989</v>
      </c>
      <c r="BA21" s="6">
        <f t="shared" si="46"/>
        <v>1.0219999999999914</v>
      </c>
      <c r="BB21" s="27">
        <f t="shared" si="47"/>
        <v>3.4999999999990906E-2</v>
      </c>
      <c r="BC21" s="27"/>
      <c r="BD21" s="36"/>
      <c r="BF21">
        <f t="shared" si="4"/>
        <v>64</v>
      </c>
      <c r="BG21">
        <f t="shared" si="5"/>
        <v>-20</v>
      </c>
      <c r="BH21">
        <f t="shared" si="6"/>
        <v>240</v>
      </c>
      <c r="BI21" s="2">
        <v>-1279.02</v>
      </c>
      <c r="BJ21" s="2">
        <f t="shared" si="7"/>
        <v>240.98000000000036</v>
      </c>
      <c r="BK21" s="23">
        <f t="shared" si="8"/>
        <v>-19.980000000000018</v>
      </c>
      <c r="BL21" s="6">
        <f t="shared" si="9"/>
        <v>-0.98000000000035925</v>
      </c>
      <c r="BM21" s="12">
        <f t="shared" si="10"/>
        <v>-1.999999999998181E-2</v>
      </c>
      <c r="BO21" s="20">
        <f t="shared" si="48"/>
        <v>-2.4999999999863576E-2</v>
      </c>
      <c r="BQ21">
        <f t="shared" si="11"/>
        <v>64</v>
      </c>
      <c r="BR21">
        <f t="shared" si="12"/>
        <v>-20</v>
      </c>
      <c r="BS21">
        <f t="shared" si="13"/>
        <v>240</v>
      </c>
      <c r="BT21" s="2">
        <v>-1279.08</v>
      </c>
      <c r="BU21" s="2">
        <f t="shared" si="14"/>
        <v>240.91999999999962</v>
      </c>
      <c r="BV21" s="23">
        <f t="shared" si="15"/>
        <v>-20.004999999999882</v>
      </c>
      <c r="BW21" s="6">
        <f t="shared" si="16"/>
        <v>-0.91999999999961801</v>
      </c>
      <c r="BX21" s="12">
        <f t="shared" si="17"/>
        <v>4.9999999998817657E-3</v>
      </c>
      <c r="BY21" s="12"/>
      <c r="BZ21" s="20">
        <f t="shared" si="49"/>
        <v>0</v>
      </c>
      <c r="CB21">
        <f t="shared" si="18"/>
        <v>64</v>
      </c>
      <c r="CC21">
        <f t="shared" si="19"/>
        <v>-20</v>
      </c>
      <c r="CD21">
        <f t="shared" si="20"/>
        <v>240</v>
      </c>
      <c r="CE21" s="2">
        <v>-1279.08</v>
      </c>
      <c r="CF21" s="2">
        <f t="shared" si="21"/>
        <v>240.92000000000007</v>
      </c>
      <c r="CG21" s="23">
        <f t="shared" si="22"/>
        <v>-20.004999999999882</v>
      </c>
      <c r="CH21" s="6">
        <f t="shared" si="23"/>
        <v>-0.92000000000007276</v>
      </c>
      <c r="CI21" s="12">
        <f t="shared" si="24"/>
        <v>4.9999999998817657E-3</v>
      </c>
      <c r="CK21" s="20">
        <f t="shared" si="50"/>
        <v>2.4999999999863576E-2</v>
      </c>
      <c r="CM21">
        <f t="shared" si="25"/>
        <v>64</v>
      </c>
      <c r="CN21">
        <f t="shared" si="26"/>
        <v>-20</v>
      </c>
      <c r="CO21">
        <f t="shared" si="27"/>
        <v>240</v>
      </c>
      <c r="CP21" s="2">
        <v>-1279.06</v>
      </c>
      <c r="CQ21" s="2">
        <f t="shared" si="28"/>
        <v>240.93999999999983</v>
      </c>
      <c r="CR21" s="23">
        <f t="shared" si="29"/>
        <v>-19.980000000000018</v>
      </c>
      <c r="CS21" s="6">
        <f t="shared" si="30"/>
        <v>-0.9399999999998272</v>
      </c>
      <c r="CT21" s="12">
        <f t="shared" si="31"/>
        <v>-1.999999999998181E-2</v>
      </c>
      <c r="CV21" s="20">
        <f t="shared" si="51"/>
        <v>-1.4999999999872671E-2</v>
      </c>
      <c r="CX21">
        <f t="shared" si="32"/>
        <v>64</v>
      </c>
      <c r="CY21">
        <f t="shared" si="33"/>
        <v>-20</v>
      </c>
      <c r="CZ21">
        <f t="shared" si="34"/>
        <v>240</v>
      </c>
      <c r="DA21" s="2">
        <v>-1279.07</v>
      </c>
      <c r="DB21" s="2">
        <f t="shared" si="35"/>
        <v>240.92999999999961</v>
      </c>
      <c r="DC21" s="23">
        <f t="shared" si="36"/>
        <v>-19.994999999999891</v>
      </c>
      <c r="DD21" s="6">
        <f t="shared" si="37"/>
        <v>-0.92999999999960892</v>
      </c>
      <c r="DE21" s="12">
        <f t="shared" si="38"/>
        <v>-5.0000000001091394E-3</v>
      </c>
      <c r="DM21" s="2"/>
      <c r="DN21" s="2"/>
      <c r="DO21" s="6"/>
      <c r="DP21" s="12"/>
      <c r="DQ21" s="10"/>
    </row>
    <row r="22" spans="2:121" x14ac:dyDescent="0.45">
      <c r="B22">
        <f t="shared" si="52"/>
        <v>14</v>
      </c>
      <c r="C22">
        <v>20</v>
      </c>
      <c r="D22">
        <f t="shared" si="53"/>
        <v>280</v>
      </c>
      <c r="E22" s="2">
        <v>281.06</v>
      </c>
      <c r="F22" s="23">
        <f t="shared" si="54"/>
        <v>20.069999999999993</v>
      </c>
      <c r="G22" s="6">
        <f t="shared" si="39"/>
        <v>1.0600000000000023</v>
      </c>
      <c r="H22" s="12">
        <f t="shared" si="55"/>
        <v>6.9999999999993179E-2</v>
      </c>
      <c r="J22" s="20">
        <f t="shared" si="0"/>
        <v>4.9999999999954525E-3</v>
      </c>
      <c r="K22" s="2"/>
      <c r="L22">
        <f t="shared" si="56"/>
        <v>14</v>
      </c>
      <c r="M22">
        <v>20</v>
      </c>
      <c r="N22">
        <f t="shared" si="57"/>
        <v>280</v>
      </c>
      <c r="O22" s="2">
        <v>281.05</v>
      </c>
      <c r="P22" s="23">
        <f t="shared" si="58"/>
        <v>20.074999999999989</v>
      </c>
      <c r="Q22" s="6">
        <f t="shared" si="40"/>
        <v>1.0500000000000114</v>
      </c>
      <c r="R22" s="27">
        <f t="shared" si="59"/>
        <v>7.4999999999988631E-2</v>
      </c>
      <c r="S22" s="27"/>
      <c r="T22" s="20">
        <f t="shared" si="1"/>
        <v>-4.4999999999959073E-2</v>
      </c>
      <c r="U22" s="2"/>
      <c r="V22">
        <f t="shared" si="60"/>
        <v>14</v>
      </c>
      <c r="W22">
        <v>20</v>
      </c>
      <c r="X22">
        <f t="shared" si="61"/>
        <v>280</v>
      </c>
      <c r="Y22" s="2">
        <v>281.06</v>
      </c>
      <c r="Z22" s="23">
        <f t="shared" si="62"/>
        <v>20.03000000000003</v>
      </c>
      <c r="AA22" s="6">
        <f t="shared" si="41"/>
        <v>1.0600000000000023</v>
      </c>
      <c r="AB22" s="27">
        <f t="shared" si="63"/>
        <v>3.0000000000029559E-2</v>
      </c>
      <c r="AC22" s="27"/>
      <c r="AD22" s="20">
        <f t="shared" si="2"/>
        <v>-6.9999999999993179E-2</v>
      </c>
      <c r="AE22" s="2"/>
      <c r="AF22">
        <f t="shared" si="64"/>
        <v>14</v>
      </c>
      <c r="AG22">
        <v>20</v>
      </c>
      <c r="AH22">
        <f t="shared" si="65"/>
        <v>280</v>
      </c>
      <c r="AI22" s="2">
        <v>281.04500000000002</v>
      </c>
      <c r="AJ22" s="23">
        <f t="shared" si="66"/>
        <v>19.960000000000036</v>
      </c>
      <c r="AK22" s="6">
        <f t="shared" si="42"/>
        <v>1.0450000000000159</v>
      </c>
      <c r="AL22" s="27">
        <f t="shared" si="67"/>
        <v>-3.999999999996362E-2</v>
      </c>
      <c r="AM22" s="27"/>
      <c r="AN22" s="20">
        <f t="shared" si="3"/>
        <v>2.9999999999972715E-2</v>
      </c>
      <c r="AO22" s="2"/>
      <c r="AP22">
        <f t="shared" si="68"/>
        <v>14</v>
      </c>
      <c r="AQ22">
        <v>20</v>
      </c>
      <c r="AR22">
        <f t="shared" si="69"/>
        <v>280</v>
      </c>
      <c r="AS22" s="2">
        <v>281.02</v>
      </c>
      <c r="AT22" s="23">
        <f t="shared" si="70"/>
        <v>19.990000000000009</v>
      </c>
      <c r="AU22" s="6">
        <f t="shared" si="43"/>
        <v>1.0199999999999818</v>
      </c>
      <c r="AV22" s="27">
        <f t="shared" si="71"/>
        <v>-9.9999999999909051E-3</v>
      </c>
      <c r="AW22" s="27"/>
      <c r="AX22" s="27"/>
      <c r="AY22" s="2">
        <f t="shared" si="44"/>
        <v>281.04700000000003</v>
      </c>
      <c r="AZ22" s="23">
        <f t="shared" si="45"/>
        <v>20.025000000000013</v>
      </c>
      <c r="BA22" s="6">
        <f t="shared" si="46"/>
        <v>1.0470000000000028</v>
      </c>
      <c r="BB22" s="27">
        <f t="shared" si="47"/>
        <v>2.5000000000011367E-2</v>
      </c>
      <c r="BC22" s="27"/>
      <c r="BD22" s="36"/>
      <c r="BF22">
        <f t="shared" si="4"/>
        <v>63</v>
      </c>
      <c r="BG22">
        <f t="shared" si="5"/>
        <v>-20</v>
      </c>
      <c r="BH22">
        <f t="shared" si="6"/>
        <v>260</v>
      </c>
      <c r="BI22" s="2">
        <v>-1259.04</v>
      </c>
      <c r="BJ22" s="2">
        <f t="shared" si="7"/>
        <v>260.96000000000038</v>
      </c>
      <c r="BK22" s="23">
        <f t="shared" si="8"/>
        <v>-20.024999999999864</v>
      </c>
      <c r="BL22" s="6">
        <f t="shared" si="9"/>
        <v>-0.96000000000037744</v>
      </c>
      <c r="BM22" s="12">
        <f t="shared" si="10"/>
        <v>2.4999999999863576E-2</v>
      </c>
      <c r="BO22" s="20">
        <f t="shared" si="48"/>
        <v>1.9999999999754436E-2</v>
      </c>
      <c r="BQ22">
        <f t="shared" si="11"/>
        <v>63</v>
      </c>
      <c r="BR22">
        <f t="shared" si="12"/>
        <v>-20</v>
      </c>
      <c r="BS22">
        <f t="shared" si="13"/>
        <v>260</v>
      </c>
      <c r="BT22" s="2">
        <v>-1259.075</v>
      </c>
      <c r="BU22" s="2">
        <f t="shared" si="14"/>
        <v>260.9249999999995</v>
      </c>
      <c r="BV22" s="23">
        <f t="shared" si="15"/>
        <v>-20.005000000000109</v>
      </c>
      <c r="BW22" s="6">
        <f t="shared" si="16"/>
        <v>-0.92499999999949978</v>
      </c>
      <c r="BX22" s="12">
        <f t="shared" si="17"/>
        <v>5.0000000001091394E-3</v>
      </c>
      <c r="BY22" s="12"/>
      <c r="BZ22" s="20">
        <f t="shared" si="49"/>
        <v>-9.9999999999909051E-3</v>
      </c>
      <c r="CB22">
        <f t="shared" si="18"/>
        <v>63</v>
      </c>
      <c r="CC22">
        <f t="shared" si="19"/>
        <v>-20</v>
      </c>
      <c r="CD22">
        <f t="shared" si="20"/>
        <v>260</v>
      </c>
      <c r="CE22" s="2">
        <v>-1259.075</v>
      </c>
      <c r="CF22" s="2">
        <f t="shared" si="21"/>
        <v>260.92499999999995</v>
      </c>
      <c r="CG22" s="23">
        <f t="shared" si="22"/>
        <v>-20.0150000000001</v>
      </c>
      <c r="CH22" s="6">
        <f t="shared" si="23"/>
        <v>-0.92499999999995453</v>
      </c>
      <c r="CI22" s="12">
        <f t="shared" si="24"/>
        <v>1.5000000000100044E-2</v>
      </c>
      <c r="CK22" s="20">
        <f t="shared" si="50"/>
        <v>-9.9999999997635314E-3</v>
      </c>
      <c r="CM22">
        <f t="shared" si="25"/>
        <v>63</v>
      </c>
      <c r="CN22">
        <f t="shared" si="26"/>
        <v>-20</v>
      </c>
      <c r="CO22">
        <f t="shared" si="27"/>
        <v>260</v>
      </c>
      <c r="CP22" s="2">
        <v>-1259.08</v>
      </c>
      <c r="CQ22" s="2">
        <f t="shared" si="28"/>
        <v>260.91999999999985</v>
      </c>
      <c r="CR22" s="23">
        <f t="shared" si="29"/>
        <v>-20.024999999999864</v>
      </c>
      <c r="CS22" s="6">
        <f t="shared" si="30"/>
        <v>-0.91999999999984539</v>
      </c>
      <c r="CT22" s="12">
        <f t="shared" si="31"/>
        <v>2.4999999999863576E-2</v>
      </c>
      <c r="CV22" s="20">
        <f t="shared" si="51"/>
        <v>9.9999999997635314E-3</v>
      </c>
      <c r="CX22">
        <f t="shared" si="32"/>
        <v>63</v>
      </c>
      <c r="CY22">
        <f t="shared" si="33"/>
        <v>-20</v>
      </c>
      <c r="CZ22">
        <f t="shared" si="34"/>
        <v>260</v>
      </c>
      <c r="DA22" s="2">
        <v>-1259.075</v>
      </c>
      <c r="DB22" s="2">
        <f t="shared" si="35"/>
        <v>260.9249999999995</v>
      </c>
      <c r="DC22" s="23">
        <f t="shared" si="36"/>
        <v>-20.0150000000001</v>
      </c>
      <c r="DD22" s="6">
        <f t="shared" si="37"/>
        <v>-0.92499999999949978</v>
      </c>
      <c r="DE22" s="12">
        <f t="shared" si="38"/>
        <v>1.5000000000100044E-2</v>
      </c>
      <c r="DM22" s="2"/>
      <c r="DN22" s="2"/>
      <c r="DO22" s="6"/>
      <c r="DP22" s="12"/>
      <c r="DQ22" s="10"/>
    </row>
    <row r="23" spans="2:121" x14ac:dyDescent="0.45">
      <c r="B23">
        <f t="shared" si="52"/>
        <v>15</v>
      </c>
      <c r="C23">
        <v>20</v>
      </c>
      <c r="D23">
        <f t="shared" si="53"/>
        <v>300</v>
      </c>
      <c r="E23" s="2">
        <v>301.07</v>
      </c>
      <c r="F23" s="23">
        <f t="shared" si="54"/>
        <v>20.009999999999991</v>
      </c>
      <c r="G23" s="6">
        <f t="shared" si="39"/>
        <v>1.0699999999999932</v>
      </c>
      <c r="H23" s="12">
        <f t="shared" si="55"/>
        <v>9.9999999999909051E-3</v>
      </c>
      <c r="J23" s="20">
        <f t="shared" si="0"/>
        <v>1.4999999999986358E-2</v>
      </c>
      <c r="K23" s="2"/>
      <c r="L23">
        <f t="shared" si="56"/>
        <v>15</v>
      </c>
      <c r="M23">
        <v>20</v>
      </c>
      <c r="N23">
        <f t="shared" si="57"/>
        <v>300</v>
      </c>
      <c r="O23" s="2">
        <v>301.07499999999999</v>
      </c>
      <c r="P23" s="23">
        <f t="shared" si="58"/>
        <v>20.024999999999977</v>
      </c>
      <c r="Q23" s="6">
        <f t="shared" si="40"/>
        <v>1.0749999999999886</v>
      </c>
      <c r="R23" s="27">
        <f t="shared" si="59"/>
        <v>2.4999999999977263E-2</v>
      </c>
      <c r="S23" s="27"/>
      <c r="T23" s="20">
        <f t="shared" si="1"/>
        <v>-9.9999999999909051E-3</v>
      </c>
      <c r="U23" s="2"/>
      <c r="V23">
        <f t="shared" si="60"/>
        <v>15</v>
      </c>
      <c r="W23">
        <v>20</v>
      </c>
      <c r="X23">
        <f t="shared" si="61"/>
        <v>300</v>
      </c>
      <c r="Y23" s="2">
        <v>301.07499999999999</v>
      </c>
      <c r="Z23" s="23">
        <f t="shared" si="62"/>
        <v>20.014999999999986</v>
      </c>
      <c r="AA23" s="6">
        <f t="shared" si="41"/>
        <v>1.0749999999999886</v>
      </c>
      <c r="AB23" s="27">
        <f t="shared" si="63"/>
        <v>1.4999999999986358E-2</v>
      </c>
      <c r="AC23" s="27"/>
      <c r="AD23" s="20">
        <f t="shared" si="2"/>
        <v>9.9999999999909051E-3</v>
      </c>
      <c r="AE23" s="2"/>
      <c r="AF23">
        <f t="shared" si="64"/>
        <v>15</v>
      </c>
      <c r="AG23">
        <v>20</v>
      </c>
      <c r="AH23">
        <f t="shared" si="65"/>
        <v>300</v>
      </c>
      <c r="AI23" s="2">
        <v>301.07</v>
      </c>
      <c r="AJ23" s="23">
        <f t="shared" si="66"/>
        <v>20.024999999999977</v>
      </c>
      <c r="AK23" s="6">
        <f t="shared" si="42"/>
        <v>1.0699999999999932</v>
      </c>
      <c r="AL23" s="27">
        <f t="shared" si="67"/>
        <v>2.4999999999977263E-2</v>
      </c>
      <c r="AM23" s="27"/>
      <c r="AN23" s="20">
        <f t="shared" si="3"/>
        <v>1.0000000000047748E-2</v>
      </c>
      <c r="AO23" s="2"/>
      <c r="AP23">
        <f t="shared" si="68"/>
        <v>15</v>
      </c>
      <c r="AQ23">
        <v>20</v>
      </c>
      <c r="AR23">
        <f t="shared" si="69"/>
        <v>300</v>
      </c>
      <c r="AS23" s="2">
        <v>301.05500000000001</v>
      </c>
      <c r="AT23" s="23">
        <f t="shared" si="70"/>
        <v>20.035000000000025</v>
      </c>
      <c r="AU23" s="6">
        <f t="shared" si="43"/>
        <v>1.0550000000000068</v>
      </c>
      <c r="AV23" s="27">
        <f t="shared" si="71"/>
        <v>3.5000000000025011E-2</v>
      </c>
      <c r="AW23" s="27"/>
      <c r="AX23" s="27"/>
      <c r="AY23" s="2">
        <f t="shared" si="44"/>
        <v>301.06900000000002</v>
      </c>
      <c r="AZ23" s="23">
        <f t="shared" si="45"/>
        <v>20.021999999999991</v>
      </c>
      <c r="BA23" s="6">
        <f t="shared" si="46"/>
        <v>1.0689999999999942</v>
      </c>
      <c r="BB23" s="27">
        <f t="shared" si="47"/>
        <v>2.199999999999136E-2</v>
      </c>
      <c r="BC23" s="27"/>
      <c r="BD23" s="36"/>
      <c r="BF23">
        <f t="shared" si="4"/>
        <v>62</v>
      </c>
      <c r="BG23">
        <f t="shared" si="5"/>
        <v>-20</v>
      </c>
      <c r="BH23">
        <f t="shared" si="6"/>
        <v>280</v>
      </c>
      <c r="BI23" s="2">
        <v>-1239.0150000000001</v>
      </c>
      <c r="BJ23" s="2">
        <f t="shared" si="7"/>
        <v>280.98500000000024</v>
      </c>
      <c r="BK23" s="23">
        <f t="shared" si="8"/>
        <v>-19.940000000000055</v>
      </c>
      <c r="BL23" s="6">
        <f t="shared" si="9"/>
        <v>-0.98500000000024102</v>
      </c>
      <c r="BM23" s="12">
        <f t="shared" si="10"/>
        <v>-5.999999999994543E-2</v>
      </c>
      <c r="BO23" s="20">
        <f t="shared" si="48"/>
        <v>-9.9999999999909051E-3</v>
      </c>
      <c r="BQ23">
        <f t="shared" si="11"/>
        <v>62</v>
      </c>
      <c r="BR23">
        <f t="shared" si="12"/>
        <v>-20</v>
      </c>
      <c r="BS23">
        <f t="shared" si="13"/>
        <v>280</v>
      </c>
      <c r="BT23" s="2">
        <v>-1239.07</v>
      </c>
      <c r="BU23" s="2">
        <f t="shared" si="14"/>
        <v>280.92999999999961</v>
      </c>
      <c r="BV23" s="23">
        <f t="shared" si="15"/>
        <v>-19.950000000000045</v>
      </c>
      <c r="BW23" s="6">
        <f t="shared" si="16"/>
        <v>-0.92999999999960892</v>
      </c>
      <c r="BX23" s="12">
        <f t="shared" si="17"/>
        <v>-4.9999999999954525E-2</v>
      </c>
      <c r="BY23" s="12"/>
      <c r="BZ23" s="20">
        <f t="shared" si="49"/>
        <v>2.5000000000090949E-2</v>
      </c>
      <c r="CB23">
        <f t="shared" si="18"/>
        <v>62</v>
      </c>
      <c r="CC23">
        <f t="shared" si="19"/>
        <v>-20</v>
      </c>
      <c r="CD23">
        <f t="shared" si="20"/>
        <v>280</v>
      </c>
      <c r="CE23" s="2">
        <v>-1239.06</v>
      </c>
      <c r="CF23" s="2">
        <f t="shared" si="21"/>
        <v>280.94000000000005</v>
      </c>
      <c r="CG23" s="23">
        <f t="shared" si="22"/>
        <v>-19.924999999999955</v>
      </c>
      <c r="CH23" s="6">
        <f t="shared" si="23"/>
        <v>-0.94000000000005457</v>
      </c>
      <c r="CI23" s="12">
        <f t="shared" si="24"/>
        <v>-7.5000000000045475E-2</v>
      </c>
      <c r="CK23" s="20">
        <f t="shared" si="50"/>
        <v>1.999999999998181E-2</v>
      </c>
      <c r="CM23">
        <f t="shared" si="25"/>
        <v>62</v>
      </c>
      <c r="CN23">
        <f t="shared" si="26"/>
        <v>-20</v>
      </c>
      <c r="CO23">
        <f t="shared" si="27"/>
        <v>280</v>
      </c>
      <c r="CP23" s="2">
        <v>-1239.0550000000001</v>
      </c>
      <c r="CQ23" s="2">
        <f t="shared" si="28"/>
        <v>280.94499999999971</v>
      </c>
      <c r="CR23" s="23">
        <f t="shared" si="29"/>
        <v>-19.904999999999973</v>
      </c>
      <c r="CS23" s="6">
        <f t="shared" si="30"/>
        <v>-0.94499999999970896</v>
      </c>
      <c r="CT23" s="12">
        <f t="shared" si="31"/>
        <v>-9.5000000000027285E-2</v>
      </c>
      <c r="CV23" s="20">
        <f t="shared" si="51"/>
        <v>-1.999999999998181E-2</v>
      </c>
      <c r="CX23">
        <f t="shared" si="32"/>
        <v>62</v>
      </c>
      <c r="CY23">
        <f t="shared" si="33"/>
        <v>-20</v>
      </c>
      <c r="CZ23">
        <f t="shared" si="34"/>
        <v>280</v>
      </c>
      <c r="DA23" s="2">
        <v>-1239.06</v>
      </c>
      <c r="DB23" s="2">
        <f t="shared" si="35"/>
        <v>280.9399999999996</v>
      </c>
      <c r="DC23" s="23">
        <f t="shared" si="36"/>
        <v>-19.924999999999955</v>
      </c>
      <c r="DD23" s="6">
        <f t="shared" si="37"/>
        <v>-0.93999999999959982</v>
      </c>
      <c r="DE23" s="12">
        <f t="shared" si="38"/>
        <v>-7.5000000000045475E-2</v>
      </c>
      <c r="DM23" s="2"/>
      <c r="DN23" s="2"/>
      <c r="DO23" s="6"/>
      <c r="DP23" s="12"/>
      <c r="DQ23" s="10"/>
    </row>
    <row r="24" spans="2:121" x14ac:dyDescent="0.45">
      <c r="B24">
        <f t="shared" si="52"/>
        <v>16</v>
      </c>
      <c r="C24">
        <v>20</v>
      </c>
      <c r="D24">
        <f t="shared" si="53"/>
        <v>320</v>
      </c>
      <c r="E24" s="2">
        <v>321.01</v>
      </c>
      <c r="F24" s="23">
        <f t="shared" si="54"/>
        <v>19.939999999999998</v>
      </c>
      <c r="G24" s="6">
        <f t="shared" si="39"/>
        <v>1.0099999999999909</v>
      </c>
      <c r="H24" s="12">
        <f t="shared" si="55"/>
        <v>-6.0000000000002274E-2</v>
      </c>
      <c r="J24" s="20">
        <f t="shared" si="0"/>
        <v>-9.9999999999909051E-3</v>
      </c>
      <c r="K24" s="2"/>
      <c r="L24">
        <f t="shared" si="56"/>
        <v>16</v>
      </c>
      <c r="M24">
        <v>20</v>
      </c>
      <c r="N24">
        <f t="shared" si="57"/>
        <v>320</v>
      </c>
      <c r="O24" s="2">
        <v>321.005</v>
      </c>
      <c r="P24" s="23">
        <f t="shared" si="58"/>
        <v>19.930000000000007</v>
      </c>
      <c r="Q24" s="6">
        <f t="shared" si="40"/>
        <v>1.0049999999999955</v>
      </c>
      <c r="R24" s="27">
        <f t="shared" si="59"/>
        <v>-6.9999999999993179E-2</v>
      </c>
      <c r="S24" s="27"/>
      <c r="T24" s="20">
        <f t="shared" si="1"/>
        <v>4.9999999999954525E-3</v>
      </c>
      <c r="U24" s="2"/>
      <c r="V24">
        <f t="shared" si="60"/>
        <v>16</v>
      </c>
      <c r="W24">
        <v>20</v>
      </c>
      <c r="X24">
        <f t="shared" si="61"/>
        <v>320</v>
      </c>
      <c r="Y24" s="2">
        <v>321.01</v>
      </c>
      <c r="Z24" s="23">
        <f t="shared" si="62"/>
        <v>19.935000000000002</v>
      </c>
      <c r="AA24" s="6">
        <f t="shared" si="41"/>
        <v>1.0099999999999909</v>
      </c>
      <c r="AB24" s="27">
        <f t="shared" si="63"/>
        <v>-6.4999999999997726E-2</v>
      </c>
      <c r="AC24" s="27"/>
      <c r="AD24" s="20">
        <f t="shared" si="2"/>
        <v>0</v>
      </c>
      <c r="AE24" s="2"/>
      <c r="AF24">
        <f t="shared" si="64"/>
        <v>16</v>
      </c>
      <c r="AG24">
        <v>20</v>
      </c>
      <c r="AH24">
        <f t="shared" si="65"/>
        <v>320</v>
      </c>
      <c r="AI24" s="2">
        <v>321.005</v>
      </c>
      <c r="AJ24" s="23">
        <f t="shared" si="66"/>
        <v>19.935000000000002</v>
      </c>
      <c r="AK24" s="6">
        <f t="shared" si="42"/>
        <v>1.0049999999999955</v>
      </c>
      <c r="AL24" s="27">
        <f t="shared" si="67"/>
        <v>-6.4999999999997726E-2</v>
      </c>
      <c r="AM24" s="27"/>
      <c r="AN24" s="20">
        <f t="shared" si="3"/>
        <v>9.9999999999909051E-3</v>
      </c>
      <c r="AO24" s="2"/>
      <c r="AP24">
        <f t="shared" si="68"/>
        <v>16</v>
      </c>
      <c r="AQ24">
        <v>20</v>
      </c>
      <c r="AR24">
        <f t="shared" si="69"/>
        <v>320</v>
      </c>
      <c r="AS24" s="2">
        <v>321</v>
      </c>
      <c r="AT24" s="23">
        <f t="shared" si="70"/>
        <v>19.944999999999993</v>
      </c>
      <c r="AU24" s="6">
        <f t="shared" si="43"/>
        <v>1</v>
      </c>
      <c r="AV24" s="27">
        <f t="shared" si="71"/>
        <v>-5.5000000000006821E-2</v>
      </c>
      <c r="AW24" s="27"/>
      <c r="AX24" s="27"/>
      <c r="AY24" s="2">
        <f t="shared" si="44"/>
        <v>321.00599999999997</v>
      </c>
      <c r="AZ24" s="23">
        <f t="shared" si="45"/>
        <v>19.937000000000001</v>
      </c>
      <c r="BA24" s="6">
        <f t="shared" si="46"/>
        <v>1.0059999999999945</v>
      </c>
      <c r="BB24" s="27">
        <f t="shared" si="47"/>
        <v>-6.2999999999999542E-2</v>
      </c>
      <c r="BC24" s="27"/>
      <c r="BD24" s="36"/>
      <c r="BF24">
        <f t="shared" si="4"/>
        <v>61</v>
      </c>
      <c r="BG24">
        <f t="shared" si="5"/>
        <v>-20</v>
      </c>
      <c r="BH24">
        <f t="shared" si="6"/>
        <v>300</v>
      </c>
      <c r="BI24" s="2">
        <v>-1219.075</v>
      </c>
      <c r="BJ24" s="2">
        <f t="shared" si="7"/>
        <v>300.9250000000003</v>
      </c>
      <c r="BK24" s="23">
        <f t="shared" si="8"/>
        <v>-19.930000000000064</v>
      </c>
      <c r="BL24" s="6">
        <f t="shared" si="9"/>
        <v>-0.92500000000029559</v>
      </c>
      <c r="BM24" s="12">
        <f t="shared" si="10"/>
        <v>-6.9999999999936335E-2</v>
      </c>
      <c r="BO24" s="20">
        <f t="shared" si="48"/>
        <v>-2.9999999999745341E-2</v>
      </c>
      <c r="BQ24">
        <f t="shared" si="11"/>
        <v>61</v>
      </c>
      <c r="BR24">
        <f t="shared" si="12"/>
        <v>-20</v>
      </c>
      <c r="BS24">
        <f t="shared" si="13"/>
        <v>300</v>
      </c>
      <c r="BT24" s="2">
        <v>-1219.1199999999999</v>
      </c>
      <c r="BU24" s="2">
        <f t="shared" si="14"/>
        <v>300.87999999999965</v>
      </c>
      <c r="BV24" s="23">
        <f t="shared" si="15"/>
        <v>-19.959999999999809</v>
      </c>
      <c r="BW24" s="6">
        <f t="shared" si="16"/>
        <v>-0.87999999999965439</v>
      </c>
      <c r="BX24" s="12">
        <f t="shared" si="17"/>
        <v>-4.0000000000190994E-2</v>
      </c>
      <c r="BY24" s="12"/>
      <c r="BZ24" s="20">
        <f t="shared" si="49"/>
        <v>-1.0000000000218279E-2</v>
      </c>
      <c r="CB24">
        <f t="shared" si="18"/>
        <v>61</v>
      </c>
      <c r="CC24">
        <f t="shared" si="19"/>
        <v>-20</v>
      </c>
      <c r="CD24">
        <f t="shared" si="20"/>
        <v>300</v>
      </c>
      <c r="CE24" s="2">
        <v>-1219.135</v>
      </c>
      <c r="CF24" s="2">
        <f t="shared" si="21"/>
        <v>300.86500000000001</v>
      </c>
      <c r="CG24" s="23">
        <f t="shared" si="22"/>
        <v>-19.970000000000027</v>
      </c>
      <c r="CH24" s="6">
        <f t="shared" si="23"/>
        <v>-0.86500000000000909</v>
      </c>
      <c r="CI24" s="12">
        <f t="shared" si="24"/>
        <v>-2.9999999999972715E-2</v>
      </c>
      <c r="CK24" s="20">
        <f t="shared" si="50"/>
        <v>9.9999999999909051E-3</v>
      </c>
      <c r="CM24">
        <f t="shared" si="25"/>
        <v>61</v>
      </c>
      <c r="CN24">
        <f t="shared" si="26"/>
        <v>-20</v>
      </c>
      <c r="CO24">
        <f t="shared" si="27"/>
        <v>300</v>
      </c>
      <c r="CP24" s="2">
        <v>-1219.1500000000001</v>
      </c>
      <c r="CQ24" s="2">
        <f t="shared" si="28"/>
        <v>300.84999999999968</v>
      </c>
      <c r="CR24" s="23">
        <f t="shared" si="29"/>
        <v>-19.960000000000036</v>
      </c>
      <c r="CS24" s="6">
        <f t="shared" si="30"/>
        <v>-0.84999999999968168</v>
      </c>
      <c r="CT24" s="12">
        <f t="shared" si="31"/>
        <v>-3.999999999996362E-2</v>
      </c>
      <c r="CV24" s="20">
        <f t="shared" si="51"/>
        <v>5.0000000001091394E-3</v>
      </c>
      <c r="CX24">
        <f t="shared" si="32"/>
        <v>61</v>
      </c>
      <c r="CY24">
        <f t="shared" si="33"/>
        <v>-20</v>
      </c>
      <c r="CZ24">
        <f t="shared" si="34"/>
        <v>300</v>
      </c>
      <c r="DA24" s="2">
        <v>-1219.135</v>
      </c>
      <c r="DB24" s="2">
        <f t="shared" si="35"/>
        <v>300.86499999999955</v>
      </c>
      <c r="DC24" s="23">
        <f t="shared" si="36"/>
        <v>-19.954999999999927</v>
      </c>
      <c r="DD24" s="6">
        <f t="shared" si="37"/>
        <v>-0.86499999999955435</v>
      </c>
      <c r="DE24" s="12">
        <f t="shared" si="38"/>
        <v>-4.500000000007276E-2</v>
      </c>
      <c r="DM24" s="2"/>
      <c r="DN24" s="2"/>
      <c r="DO24" s="6"/>
      <c r="DP24" s="12"/>
      <c r="DQ24" s="10"/>
    </row>
    <row r="25" spans="2:121" x14ac:dyDescent="0.45">
      <c r="B25">
        <f t="shared" si="52"/>
        <v>17</v>
      </c>
      <c r="C25">
        <v>20</v>
      </c>
      <c r="D25">
        <f t="shared" si="53"/>
        <v>340</v>
      </c>
      <c r="E25" s="2">
        <v>341.02</v>
      </c>
      <c r="F25" s="23">
        <f t="shared" si="54"/>
        <v>20.009999999999991</v>
      </c>
      <c r="G25" s="6">
        <f t="shared" si="39"/>
        <v>1.0199999999999818</v>
      </c>
      <c r="H25" s="12">
        <f t="shared" si="55"/>
        <v>9.9999999999909051E-3</v>
      </c>
      <c r="J25" s="20">
        <f t="shared" si="0"/>
        <v>-4.9999999999954525E-3</v>
      </c>
      <c r="K25" s="2"/>
      <c r="L25">
        <f t="shared" si="56"/>
        <v>17</v>
      </c>
      <c r="M25">
        <v>20</v>
      </c>
      <c r="N25">
        <f t="shared" si="57"/>
        <v>340</v>
      </c>
      <c r="O25" s="2">
        <v>341.01</v>
      </c>
      <c r="P25" s="23">
        <f t="shared" si="58"/>
        <v>20.004999999999995</v>
      </c>
      <c r="Q25" s="6">
        <f t="shared" si="40"/>
        <v>1.0099999999999909</v>
      </c>
      <c r="R25" s="27">
        <f t="shared" si="59"/>
        <v>4.9999999999954525E-3</v>
      </c>
      <c r="S25" s="27"/>
      <c r="T25" s="20">
        <f t="shared" si="1"/>
        <v>4.9999999999954525E-3</v>
      </c>
      <c r="U25" s="2"/>
      <c r="V25">
        <f t="shared" si="60"/>
        <v>17</v>
      </c>
      <c r="W25">
        <v>20</v>
      </c>
      <c r="X25">
        <f t="shared" si="61"/>
        <v>340</v>
      </c>
      <c r="Y25" s="2">
        <v>341.02</v>
      </c>
      <c r="Z25" s="23">
        <f t="shared" si="62"/>
        <v>20.009999999999991</v>
      </c>
      <c r="AA25" s="6">
        <f t="shared" si="41"/>
        <v>1.0199999999999818</v>
      </c>
      <c r="AB25" s="27">
        <f t="shared" si="63"/>
        <v>9.9999999999909051E-3</v>
      </c>
      <c r="AC25" s="27"/>
      <c r="AD25" s="20">
        <f t="shared" si="2"/>
        <v>-4.9999999999954525E-3</v>
      </c>
      <c r="AE25" s="2"/>
      <c r="AF25">
        <f t="shared" si="64"/>
        <v>17</v>
      </c>
      <c r="AG25">
        <v>20</v>
      </c>
      <c r="AH25">
        <f t="shared" si="65"/>
        <v>340</v>
      </c>
      <c r="AI25" s="2">
        <v>341.01</v>
      </c>
      <c r="AJ25" s="23">
        <f t="shared" si="66"/>
        <v>20.004999999999995</v>
      </c>
      <c r="AK25" s="6">
        <f t="shared" si="42"/>
        <v>1.0099999999999909</v>
      </c>
      <c r="AL25" s="27">
        <f t="shared" si="67"/>
        <v>4.9999999999954525E-3</v>
      </c>
      <c r="AM25" s="27"/>
      <c r="AN25" s="20">
        <f t="shared" si="3"/>
        <v>-4.9999999999954525E-3</v>
      </c>
      <c r="AO25" s="2"/>
      <c r="AP25">
        <f t="shared" si="68"/>
        <v>17</v>
      </c>
      <c r="AQ25">
        <v>20</v>
      </c>
      <c r="AR25">
        <f t="shared" si="69"/>
        <v>340</v>
      </c>
      <c r="AS25" s="2">
        <v>341</v>
      </c>
      <c r="AT25" s="23">
        <f t="shared" si="70"/>
        <v>20</v>
      </c>
      <c r="AU25" s="6">
        <f t="shared" si="43"/>
        <v>1</v>
      </c>
      <c r="AV25" s="27">
        <f t="shared" si="71"/>
        <v>0</v>
      </c>
      <c r="AW25" s="27"/>
      <c r="AX25" s="27"/>
      <c r="AY25" s="2">
        <f t="shared" si="44"/>
        <v>341.012</v>
      </c>
      <c r="AZ25" s="23">
        <f t="shared" si="45"/>
        <v>20.005999999999993</v>
      </c>
      <c r="BA25" s="6">
        <f t="shared" si="46"/>
        <v>1.0119999999999891</v>
      </c>
      <c r="BB25" s="27">
        <f t="shared" si="47"/>
        <v>5.9999999999945427E-3</v>
      </c>
      <c r="BC25" s="27"/>
      <c r="BD25" s="36"/>
      <c r="BF25">
        <f t="shared" si="4"/>
        <v>60</v>
      </c>
      <c r="BG25">
        <f t="shared" si="5"/>
        <v>-20</v>
      </c>
      <c r="BH25">
        <f t="shared" si="6"/>
        <v>320</v>
      </c>
      <c r="BI25" s="2">
        <v>-1199.145</v>
      </c>
      <c r="BJ25" s="2">
        <f t="shared" si="7"/>
        <v>320.85500000000036</v>
      </c>
      <c r="BK25" s="23">
        <f t="shared" si="8"/>
        <v>-20.029999999999973</v>
      </c>
      <c r="BL25" s="6">
        <f t="shared" si="9"/>
        <v>-0.85500000000035925</v>
      </c>
      <c r="BM25" s="12">
        <f t="shared" si="10"/>
        <v>2.9999999999972715E-2</v>
      </c>
      <c r="BO25" s="20">
        <f t="shared" si="48"/>
        <v>0</v>
      </c>
      <c r="BQ25">
        <f t="shared" si="11"/>
        <v>60</v>
      </c>
      <c r="BR25">
        <f t="shared" si="12"/>
        <v>-20</v>
      </c>
      <c r="BS25">
        <f t="shared" si="13"/>
        <v>320</v>
      </c>
      <c r="BT25" s="2">
        <v>-1199.1600000000001</v>
      </c>
      <c r="BU25" s="2">
        <f t="shared" si="14"/>
        <v>320.83999999999946</v>
      </c>
      <c r="BV25" s="23">
        <f t="shared" si="15"/>
        <v>-20.029999999999973</v>
      </c>
      <c r="BW25" s="6">
        <f t="shared" si="16"/>
        <v>-0.8399999999994634</v>
      </c>
      <c r="BX25" s="12">
        <f t="shared" si="17"/>
        <v>2.9999999999972715E-2</v>
      </c>
      <c r="BY25" s="12"/>
      <c r="BZ25" s="20">
        <f t="shared" si="49"/>
        <v>2.5000000000090949E-2</v>
      </c>
      <c r="CB25">
        <f t="shared" si="18"/>
        <v>60</v>
      </c>
      <c r="CC25">
        <f t="shared" si="19"/>
        <v>-20</v>
      </c>
      <c r="CD25">
        <f t="shared" si="20"/>
        <v>320</v>
      </c>
      <c r="CE25" s="2">
        <v>-1199.165</v>
      </c>
      <c r="CF25" s="2">
        <f t="shared" si="21"/>
        <v>320.83500000000004</v>
      </c>
      <c r="CG25" s="23">
        <f t="shared" si="22"/>
        <v>-20.004999999999882</v>
      </c>
      <c r="CH25" s="6">
        <f t="shared" si="23"/>
        <v>-0.83500000000003638</v>
      </c>
      <c r="CI25" s="12">
        <f t="shared" si="24"/>
        <v>4.9999999998817657E-3</v>
      </c>
      <c r="CK25" s="20">
        <f t="shared" si="50"/>
        <v>-4.0000000000190994E-2</v>
      </c>
      <c r="CM25">
        <f t="shared" si="25"/>
        <v>60</v>
      </c>
      <c r="CN25">
        <f t="shared" si="26"/>
        <v>-20</v>
      </c>
      <c r="CO25">
        <f t="shared" si="27"/>
        <v>320</v>
      </c>
      <c r="CP25" s="2">
        <v>-1199.19</v>
      </c>
      <c r="CQ25" s="2">
        <f t="shared" si="28"/>
        <v>320.80999999999972</v>
      </c>
      <c r="CR25" s="23">
        <f t="shared" si="29"/>
        <v>-20.045000000000073</v>
      </c>
      <c r="CS25" s="6">
        <f t="shared" si="30"/>
        <v>-0.80999999999971806</v>
      </c>
      <c r="CT25" s="12">
        <f t="shared" si="31"/>
        <v>4.500000000007276E-2</v>
      </c>
      <c r="CV25" s="20">
        <f t="shared" si="51"/>
        <v>-4.9999999998817657E-3</v>
      </c>
      <c r="CX25">
        <f t="shared" si="32"/>
        <v>60</v>
      </c>
      <c r="CY25">
        <f t="shared" si="33"/>
        <v>-20</v>
      </c>
      <c r="CZ25">
        <f t="shared" si="34"/>
        <v>320</v>
      </c>
      <c r="DA25" s="2">
        <v>-1199.18</v>
      </c>
      <c r="DB25" s="2">
        <f t="shared" si="35"/>
        <v>320.81999999999948</v>
      </c>
      <c r="DC25" s="23">
        <f t="shared" si="36"/>
        <v>-20.049999999999955</v>
      </c>
      <c r="DD25" s="6">
        <f t="shared" si="37"/>
        <v>-0.81999999999948159</v>
      </c>
      <c r="DE25" s="12">
        <f t="shared" si="38"/>
        <v>4.9999999999954525E-2</v>
      </c>
      <c r="DM25" s="2"/>
      <c r="DN25" s="2"/>
      <c r="DO25" s="6"/>
      <c r="DP25" s="12"/>
      <c r="DQ25" s="10"/>
    </row>
    <row r="26" spans="2:121" x14ac:dyDescent="0.45">
      <c r="B26">
        <f t="shared" si="52"/>
        <v>18</v>
      </c>
      <c r="C26">
        <v>20</v>
      </c>
      <c r="D26">
        <f t="shared" si="53"/>
        <v>360</v>
      </c>
      <c r="E26" s="2">
        <v>361.07499999999999</v>
      </c>
      <c r="F26" s="23">
        <f t="shared" si="54"/>
        <v>20.055000000000007</v>
      </c>
      <c r="G26" s="6">
        <f t="shared" si="39"/>
        <v>1.0749999999999886</v>
      </c>
      <c r="H26" s="12">
        <f t="shared" si="55"/>
        <v>5.5000000000006821E-2</v>
      </c>
      <c r="J26" s="20">
        <f t="shared" si="0"/>
        <v>4.9999999999954525E-3</v>
      </c>
      <c r="K26" s="2"/>
      <c r="L26">
        <f t="shared" si="56"/>
        <v>18</v>
      </c>
      <c r="M26">
        <v>20</v>
      </c>
      <c r="N26">
        <f t="shared" si="57"/>
        <v>360</v>
      </c>
      <c r="O26" s="2">
        <v>361.07</v>
      </c>
      <c r="P26" s="23">
        <f t="shared" si="58"/>
        <v>20.060000000000002</v>
      </c>
      <c r="Q26" s="6">
        <f t="shared" si="40"/>
        <v>1.0699999999999932</v>
      </c>
      <c r="R26" s="27">
        <f t="shared" si="59"/>
        <v>6.0000000000002274E-2</v>
      </c>
      <c r="S26" s="27"/>
      <c r="T26" s="20">
        <f t="shared" si="1"/>
        <v>-9.9999999999909051E-3</v>
      </c>
      <c r="U26" s="2"/>
      <c r="V26">
        <f t="shared" si="60"/>
        <v>18</v>
      </c>
      <c r="W26">
        <v>20</v>
      </c>
      <c r="X26">
        <f t="shared" si="61"/>
        <v>360</v>
      </c>
      <c r="Y26" s="2">
        <v>361.07</v>
      </c>
      <c r="Z26" s="23">
        <f t="shared" si="62"/>
        <v>20.050000000000011</v>
      </c>
      <c r="AA26" s="6">
        <f t="shared" si="41"/>
        <v>1.0699999999999932</v>
      </c>
      <c r="AB26" s="27">
        <f t="shared" si="63"/>
        <v>5.0000000000011369E-2</v>
      </c>
      <c r="AC26" s="27"/>
      <c r="AD26" s="20">
        <f t="shared" si="2"/>
        <v>4.9999999999954525E-3</v>
      </c>
      <c r="AE26" s="2"/>
      <c r="AF26">
        <f t="shared" si="64"/>
        <v>18</v>
      </c>
      <c r="AG26">
        <v>20</v>
      </c>
      <c r="AH26">
        <f t="shared" si="65"/>
        <v>360</v>
      </c>
      <c r="AI26" s="2">
        <v>361.065</v>
      </c>
      <c r="AJ26" s="23">
        <f t="shared" si="66"/>
        <v>20.055000000000007</v>
      </c>
      <c r="AK26" s="6">
        <f t="shared" si="42"/>
        <v>1.0649999999999977</v>
      </c>
      <c r="AL26" s="27">
        <f t="shared" si="67"/>
        <v>5.5000000000006821E-2</v>
      </c>
      <c r="AM26" s="27"/>
      <c r="AN26" s="20">
        <f t="shared" si="3"/>
        <v>4.9999999999954525E-3</v>
      </c>
      <c r="AO26" s="2"/>
      <c r="AP26">
        <f t="shared" si="68"/>
        <v>18</v>
      </c>
      <c r="AQ26">
        <v>20</v>
      </c>
      <c r="AR26">
        <f t="shared" si="69"/>
        <v>360</v>
      </c>
      <c r="AS26" s="2">
        <v>361.06</v>
      </c>
      <c r="AT26" s="23">
        <f t="shared" si="70"/>
        <v>20.060000000000002</v>
      </c>
      <c r="AU26" s="6">
        <f t="shared" si="43"/>
        <v>1.0600000000000023</v>
      </c>
      <c r="AV26" s="27">
        <f t="shared" si="71"/>
        <v>6.0000000000002274E-2</v>
      </c>
      <c r="AW26" s="27"/>
      <c r="AX26" s="27"/>
      <c r="AY26" s="2">
        <f t="shared" si="44"/>
        <v>361.06799999999998</v>
      </c>
      <c r="AZ26" s="23">
        <f t="shared" si="45"/>
        <v>20.056000000000004</v>
      </c>
      <c r="BA26" s="6">
        <f t="shared" si="46"/>
        <v>1.067999999999995</v>
      </c>
      <c r="BB26" s="27">
        <f t="shared" si="47"/>
        <v>5.6000000000005913E-2</v>
      </c>
      <c r="BC26" s="27"/>
      <c r="BD26" s="36"/>
      <c r="BF26">
        <f t="shared" si="4"/>
        <v>59</v>
      </c>
      <c r="BG26">
        <f t="shared" si="5"/>
        <v>-20</v>
      </c>
      <c r="BH26">
        <f t="shared" si="6"/>
        <v>340</v>
      </c>
      <c r="BI26" s="2">
        <v>-1179.115</v>
      </c>
      <c r="BJ26" s="2">
        <f t="shared" si="7"/>
        <v>340.88500000000033</v>
      </c>
      <c r="BK26" s="23">
        <f t="shared" si="8"/>
        <v>-20.059999999999945</v>
      </c>
      <c r="BL26" s="6">
        <f t="shared" si="9"/>
        <v>-0.88500000000033197</v>
      </c>
      <c r="BM26" s="12">
        <f t="shared" si="10"/>
        <v>5.999999999994543E-2</v>
      </c>
      <c r="BO26" s="20">
        <f t="shared" si="48"/>
        <v>1.4999999999872671E-2</v>
      </c>
      <c r="BQ26">
        <f t="shared" si="11"/>
        <v>59</v>
      </c>
      <c r="BR26">
        <f t="shared" si="12"/>
        <v>-20</v>
      </c>
      <c r="BS26">
        <f t="shared" si="13"/>
        <v>340</v>
      </c>
      <c r="BT26" s="2">
        <v>-1179.1300000000001</v>
      </c>
      <c r="BU26" s="2">
        <f t="shared" si="14"/>
        <v>340.86999999999944</v>
      </c>
      <c r="BV26" s="23">
        <f t="shared" si="15"/>
        <v>-20.045000000000073</v>
      </c>
      <c r="BW26" s="6">
        <f t="shared" si="16"/>
        <v>-0.86999999999943611</v>
      </c>
      <c r="BX26" s="12">
        <f t="shared" si="17"/>
        <v>4.500000000007276E-2</v>
      </c>
      <c r="BY26" s="12"/>
      <c r="BZ26" s="20">
        <f t="shared" si="49"/>
        <v>-4.500000000007276E-2</v>
      </c>
      <c r="CB26">
        <f t="shared" si="18"/>
        <v>59</v>
      </c>
      <c r="CC26">
        <f t="shared" si="19"/>
        <v>-20</v>
      </c>
      <c r="CD26">
        <f t="shared" si="20"/>
        <v>340</v>
      </c>
      <c r="CE26" s="2">
        <v>-1179.1600000000001</v>
      </c>
      <c r="CF26" s="2">
        <f t="shared" si="21"/>
        <v>340.83999999999992</v>
      </c>
      <c r="CG26" s="23">
        <f t="shared" si="22"/>
        <v>-20.090000000000146</v>
      </c>
      <c r="CH26" s="6">
        <f t="shared" si="23"/>
        <v>-0.83999999999991815</v>
      </c>
      <c r="CI26" s="12">
        <f t="shared" si="24"/>
        <v>9.0000000000145519E-2</v>
      </c>
      <c r="CK26" s="20">
        <f t="shared" si="50"/>
        <v>1.5000000000100044E-2</v>
      </c>
      <c r="CM26">
        <f t="shared" si="25"/>
        <v>59</v>
      </c>
      <c r="CN26">
        <f t="shared" si="26"/>
        <v>-20</v>
      </c>
      <c r="CO26">
        <f t="shared" si="27"/>
        <v>340</v>
      </c>
      <c r="CP26" s="2">
        <v>-1179.145</v>
      </c>
      <c r="CQ26" s="2">
        <f t="shared" si="28"/>
        <v>340.85499999999979</v>
      </c>
      <c r="CR26" s="23">
        <f t="shared" si="29"/>
        <v>-20.075000000000045</v>
      </c>
      <c r="CS26" s="6">
        <f t="shared" si="30"/>
        <v>-0.85499999999979082</v>
      </c>
      <c r="CT26" s="12">
        <f t="shared" si="31"/>
        <v>7.5000000000045475E-2</v>
      </c>
      <c r="CV26" s="20">
        <f t="shared" si="51"/>
        <v>3.4999999999854481E-2</v>
      </c>
      <c r="CX26">
        <f t="shared" si="32"/>
        <v>59</v>
      </c>
      <c r="CY26">
        <f t="shared" si="33"/>
        <v>-20</v>
      </c>
      <c r="CZ26">
        <f t="shared" si="34"/>
        <v>340</v>
      </c>
      <c r="DA26" s="2">
        <v>-1179.1300000000001</v>
      </c>
      <c r="DB26" s="2">
        <f t="shared" si="35"/>
        <v>340.86999999999944</v>
      </c>
      <c r="DC26" s="23">
        <f t="shared" si="36"/>
        <v>-20.040000000000191</v>
      </c>
      <c r="DD26" s="6">
        <f t="shared" si="37"/>
        <v>-0.86999999999943611</v>
      </c>
      <c r="DE26" s="12">
        <f t="shared" si="38"/>
        <v>4.0000000000190994E-2</v>
      </c>
      <c r="DM26" s="2"/>
      <c r="DN26" s="2"/>
      <c r="DO26" s="6"/>
      <c r="DP26" s="12"/>
      <c r="DQ26" s="10"/>
    </row>
    <row r="27" spans="2:121" x14ac:dyDescent="0.45">
      <c r="B27">
        <f t="shared" si="52"/>
        <v>19</v>
      </c>
      <c r="C27">
        <v>20</v>
      </c>
      <c r="D27">
        <f t="shared" si="53"/>
        <v>380</v>
      </c>
      <c r="E27" s="2">
        <v>381.16500000000002</v>
      </c>
      <c r="F27" s="23">
        <f t="shared" si="54"/>
        <v>20.090000000000032</v>
      </c>
      <c r="G27" s="6">
        <f t="shared" si="39"/>
        <v>1.1650000000000205</v>
      </c>
      <c r="H27" s="12">
        <f t="shared" si="55"/>
        <v>9.0000000000031832E-2</v>
      </c>
      <c r="J27" s="20">
        <f t="shared" si="0"/>
        <v>-3.0000000000029559E-2</v>
      </c>
      <c r="K27" s="2"/>
      <c r="L27">
        <f t="shared" si="56"/>
        <v>19</v>
      </c>
      <c r="M27">
        <v>20</v>
      </c>
      <c r="N27">
        <f t="shared" si="57"/>
        <v>380</v>
      </c>
      <c r="O27" s="2">
        <v>381.13</v>
      </c>
      <c r="P27" s="23">
        <f t="shared" si="58"/>
        <v>20.060000000000002</v>
      </c>
      <c r="Q27" s="6">
        <f t="shared" si="40"/>
        <v>1.1299999999999955</v>
      </c>
      <c r="R27" s="27">
        <f t="shared" si="59"/>
        <v>6.0000000000002274E-2</v>
      </c>
      <c r="S27" s="27"/>
      <c r="T27" s="20">
        <f t="shared" si="1"/>
        <v>5.0000000000011369E-2</v>
      </c>
      <c r="U27" s="2"/>
      <c r="V27">
        <f t="shared" si="60"/>
        <v>19</v>
      </c>
      <c r="W27">
        <v>20</v>
      </c>
      <c r="X27">
        <f t="shared" si="61"/>
        <v>380</v>
      </c>
      <c r="Y27" s="2">
        <v>381.18</v>
      </c>
      <c r="Z27" s="23">
        <f t="shared" si="62"/>
        <v>20.110000000000014</v>
      </c>
      <c r="AA27" s="6">
        <f t="shared" si="41"/>
        <v>1.1800000000000068</v>
      </c>
      <c r="AB27" s="27">
        <f t="shared" si="63"/>
        <v>0.11000000000001364</v>
      </c>
      <c r="AC27" s="27"/>
      <c r="AD27" s="20">
        <f t="shared" si="2"/>
        <v>4.9999999999954525E-3</v>
      </c>
      <c r="AE27" s="2"/>
      <c r="AF27">
        <f t="shared" si="64"/>
        <v>19</v>
      </c>
      <c r="AG27">
        <v>20</v>
      </c>
      <c r="AH27">
        <f t="shared" si="65"/>
        <v>380</v>
      </c>
      <c r="AI27" s="2">
        <v>381.18</v>
      </c>
      <c r="AJ27" s="23">
        <f t="shared" si="66"/>
        <v>20.115000000000009</v>
      </c>
      <c r="AK27" s="6">
        <f t="shared" si="42"/>
        <v>1.1800000000000068</v>
      </c>
      <c r="AL27" s="27">
        <f t="shared" si="67"/>
        <v>0.11500000000000909</v>
      </c>
      <c r="AM27" s="27"/>
      <c r="AN27" s="20">
        <f t="shared" si="3"/>
        <v>-4.5000000000015916E-2</v>
      </c>
      <c r="AO27" s="2"/>
      <c r="AP27">
        <f t="shared" si="68"/>
        <v>19</v>
      </c>
      <c r="AQ27">
        <v>20</v>
      </c>
      <c r="AR27">
        <f t="shared" si="69"/>
        <v>380</v>
      </c>
      <c r="AS27" s="2">
        <v>381.13</v>
      </c>
      <c r="AT27" s="23">
        <f t="shared" si="70"/>
        <v>20.069999999999993</v>
      </c>
      <c r="AU27" s="6">
        <f t="shared" si="43"/>
        <v>1.1299999999999955</v>
      </c>
      <c r="AV27" s="27">
        <f t="shared" si="71"/>
        <v>6.9999999999993179E-2</v>
      </c>
      <c r="AW27" s="27"/>
      <c r="AX27" s="27"/>
      <c r="AY27" s="2">
        <f t="shared" si="44"/>
        <v>381.15700000000004</v>
      </c>
      <c r="AZ27" s="23">
        <f t="shared" si="45"/>
        <v>20.089000000000009</v>
      </c>
      <c r="BA27" s="6">
        <f t="shared" si="46"/>
        <v>1.1570000000000049</v>
      </c>
      <c r="BB27" s="27">
        <f t="shared" si="47"/>
        <v>8.9000000000010002E-2</v>
      </c>
      <c r="BC27" s="27"/>
      <c r="BD27" s="36"/>
      <c r="BF27">
        <f t="shared" si="4"/>
        <v>58</v>
      </c>
      <c r="BG27">
        <f t="shared" si="5"/>
        <v>-20</v>
      </c>
      <c r="BH27">
        <f t="shared" si="6"/>
        <v>360</v>
      </c>
      <c r="BI27" s="2">
        <v>-1159.0550000000001</v>
      </c>
      <c r="BJ27" s="2">
        <f t="shared" si="7"/>
        <v>360.94500000000028</v>
      </c>
      <c r="BK27" s="23">
        <f t="shared" si="8"/>
        <v>-20.049999999999955</v>
      </c>
      <c r="BL27" s="6">
        <f t="shared" si="9"/>
        <v>-0.9450000000002774</v>
      </c>
      <c r="BM27" s="12">
        <f t="shared" si="10"/>
        <v>4.9999999999954525E-2</v>
      </c>
      <c r="BO27" s="20">
        <f t="shared" si="48"/>
        <v>0</v>
      </c>
      <c r="BQ27">
        <f t="shared" si="11"/>
        <v>58</v>
      </c>
      <c r="BR27">
        <f t="shared" si="12"/>
        <v>-20</v>
      </c>
      <c r="BS27">
        <f t="shared" si="13"/>
        <v>360</v>
      </c>
      <c r="BT27" s="2">
        <v>-1159.085</v>
      </c>
      <c r="BU27" s="2">
        <f t="shared" si="14"/>
        <v>360.91499999999951</v>
      </c>
      <c r="BV27" s="23">
        <f t="shared" si="15"/>
        <v>-20.049999999999955</v>
      </c>
      <c r="BW27" s="6">
        <f t="shared" si="16"/>
        <v>-0.91499999999950887</v>
      </c>
      <c r="BX27" s="12">
        <f t="shared" si="17"/>
        <v>4.9999999999954525E-2</v>
      </c>
      <c r="BY27" s="12"/>
      <c r="BZ27" s="20">
        <f t="shared" si="49"/>
        <v>-1.999999999998181E-2</v>
      </c>
      <c r="CB27">
        <f t="shared" si="18"/>
        <v>58</v>
      </c>
      <c r="CC27">
        <f t="shared" si="19"/>
        <v>-20</v>
      </c>
      <c r="CD27">
        <f t="shared" si="20"/>
        <v>360</v>
      </c>
      <c r="CE27" s="2">
        <v>-1159.07</v>
      </c>
      <c r="CF27" s="2">
        <f t="shared" si="21"/>
        <v>360.93000000000006</v>
      </c>
      <c r="CG27" s="23">
        <f t="shared" si="22"/>
        <v>-20.069999999999936</v>
      </c>
      <c r="CH27" s="6">
        <f t="shared" si="23"/>
        <v>-0.93000000000006366</v>
      </c>
      <c r="CI27" s="12">
        <f t="shared" si="24"/>
        <v>6.9999999999936335E-2</v>
      </c>
      <c r="CK27" s="20">
        <f t="shared" si="50"/>
        <v>5.0000000001091394E-3</v>
      </c>
      <c r="CM27">
        <f t="shared" si="25"/>
        <v>58</v>
      </c>
      <c r="CN27">
        <f t="shared" si="26"/>
        <v>-20</v>
      </c>
      <c r="CO27">
        <f t="shared" si="27"/>
        <v>360</v>
      </c>
      <c r="CP27" s="2">
        <v>-1159.07</v>
      </c>
      <c r="CQ27" s="2">
        <f t="shared" si="28"/>
        <v>360.92999999999984</v>
      </c>
      <c r="CR27" s="23">
        <f t="shared" si="29"/>
        <v>-20.064999999999827</v>
      </c>
      <c r="CS27" s="6">
        <f t="shared" si="30"/>
        <v>-0.92999999999983629</v>
      </c>
      <c r="CT27" s="12">
        <f t="shared" si="31"/>
        <v>6.4999999999827196E-2</v>
      </c>
      <c r="CV27" s="20">
        <f t="shared" si="51"/>
        <v>-9.9999999999909051E-3</v>
      </c>
      <c r="CX27">
        <f t="shared" si="32"/>
        <v>58</v>
      </c>
      <c r="CY27">
        <f t="shared" si="33"/>
        <v>-20</v>
      </c>
      <c r="CZ27">
        <f t="shared" si="34"/>
        <v>360</v>
      </c>
      <c r="DA27" s="2">
        <v>-1159.0899999999999</v>
      </c>
      <c r="DB27" s="2">
        <f t="shared" si="35"/>
        <v>360.90999999999963</v>
      </c>
      <c r="DC27" s="23">
        <f t="shared" si="36"/>
        <v>-20.074999999999818</v>
      </c>
      <c r="DD27" s="6">
        <f t="shared" si="37"/>
        <v>-0.90999999999962711</v>
      </c>
      <c r="DE27" s="12">
        <f t="shared" si="38"/>
        <v>7.4999999999818101E-2</v>
      </c>
      <c r="DM27" s="2"/>
      <c r="DN27" s="2"/>
      <c r="DO27" s="6"/>
      <c r="DP27" s="12"/>
      <c r="DQ27" s="10"/>
    </row>
    <row r="28" spans="2:121" x14ac:dyDescent="0.45">
      <c r="B28">
        <f t="shared" si="52"/>
        <v>20</v>
      </c>
      <c r="C28">
        <v>20</v>
      </c>
      <c r="D28">
        <f t="shared" si="53"/>
        <v>400</v>
      </c>
      <c r="E28" s="2">
        <v>401.23</v>
      </c>
      <c r="F28" s="23">
        <f t="shared" si="54"/>
        <v>20.064999999999998</v>
      </c>
      <c r="G28" s="6">
        <f t="shared" si="39"/>
        <v>1.2300000000000182</v>
      </c>
      <c r="H28" s="12">
        <f t="shared" si="55"/>
        <v>6.4999999999997726E-2</v>
      </c>
      <c r="J28" s="20">
        <f t="shared" si="0"/>
        <v>2.5000000000034106E-2</v>
      </c>
      <c r="K28" s="2"/>
      <c r="L28">
        <f t="shared" si="56"/>
        <v>20</v>
      </c>
      <c r="M28">
        <v>20</v>
      </c>
      <c r="N28">
        <f t="shared" si="57"/>
        <v>400</v>
      </c>
      <c r="O28" s="2">
        <v>401.22</v>
      </c>
      <c r="P28" s="23">
        <f t="shared" si="58"/>
        <v>20.090000000000032</v>
      </c>
      <c r="Q28" s="6">
        <f t="shared" si="40"/>
        <v>1.2200000000000273</v>
      </c>
      <c r="R28" s="27">
        <f t="shared" si="59"/>
        <v>9.0000000000031832E-2</v>
      </c>
      <c r="S28" s="27"/>
      <c r="T28" s="20">
        <f t="shared" si="1"/>
        <v>-5.5000000000063665E-2</v>
      </c>
      <c r="U28" s="2"/>
      <c r="V28">
        <f t="shared" si="60"/>
        <v>20</v>
      </c>
      <c r="W28">
        <v>20</v>
      </c>
      <c r="X28">
        <f t="shared" si="61"/>
        <v>400</v>
      </c>
      <c r="Y28" s="2">
        <v>401.21499999999997</v>
      </c>
      <c r="Z28" s="23">
        <f t="shared" si="62"/>
        <v>20.034999999999968</v>
      </c>
      <c r="AA28" s="6">
        <f t="shared" si="41"/>
        <v>1.214999999999975</v>
      </c>
      <c r="AB28" s="27">
        <f t="shared" si="63"/>
        <v>3.4999999999968168E-2</v>
      </c>
      <c r="AC28" s="27"/>
      <c r="AD28" s="20">
        <f t="shared" si="2"/>
        <v>3.5000000000025011E-2</v>
      </c>
      <c r="AE28" s="2"/>
      <c r="AF28">
        <f t="shared" si="64"/>
        <v>20</v>
      </c>
      <c r="AG28">
        <v>20</v>
      </c>
      <c r="AH28">
        <f t="shared" si="65"/>
        <v>400</v>
      </c>
      <c r="AI28" s="2">
        <v>401.25</v>
      </c>
      <c r="AJ28" s="23">
        <f t="shared" si="66"/>
        <v>20.069999999999993</v>
      </c>
      <c r="AK28" s="6">
        <f t="shared" si="42"/>
        <v>1.25</v>
      </c>
      <c r="AL28" s="27">
        <f t="shared" si="67"/>
        <v>6.9999999999993179E-2</v>
      </c>
      <c r="AM28" s="27"/>
      <c r="AN28" s="20">
        <f t="shared" si="3"/>
        <v>2.5000000000034106E-2</v>
      </c>
      <c r="AO28" s="2"/>
      <c r="AP28">
        <f t="shared" si="68"/>
        <v>20</v>
      </c>
      <c r="AQ28">
        <v>20</v>
      </c>
      <c r="AR28">
        <f t="shared" si="69"/>
        <v>400</v>
      </c>
      <c r="AS28" s="2">
        <v>401.22500000000002</v>
      </c>
      <c r="AT28" s="23">
        <f t="shared" si="70"/>
        <v>20.095000000000027</v>
      </c>
      <c r="AU28" s="6">
        <f t="shared" si="43"/>
        <v>1.2250000000000227</v>
      </c>
      <c r="AV28" s="27">
        <f t="shared" si="71"/>
        <v>9.5000000000027285E-2</v>
      </c>
      <c r="AW28" s="27"/>
      <c r="AX28" s="27"/>
      <c r="AY28" s="2">
        <f t="shared" si="44"/>
        <v>401.22799999999995</v>
      </c>
      <c r="AZ28" s="23">
        <f t="shared" si="45"/>
        <v>20.071000000000005</v>
      </c>
      <c r="BA28" s="6">
        <f t="shared" si="46"/>
        <v>1.2280000000000086</v>
      </c>
      <c r="BB28" s="27">
        <f t="shared" si="47"/>
        <v>7.1000000000003644E-2</v>
      </c>
      <c r="BC28" s="27"/>
      <c r="BD28" s="36"/>
      <c r="BF28">
        <f t="shared" si="4"/>
        <v>57</v>
      </c>
      <c r="BG28">
        <f t="shared" si="5"/>
        <v>-20</v>
      </c>
      <c r="BH28">
        <f t="shared" si="6"/>
        <v>380</v>
      </c>
      <c r="BI28" s="2">
        <v>-1139.0050000000001</v>
      </c>
      <c r="BJ28" s="2">
        <f t="shared" si="7"/>
        <v>380.99500000000023</v>
      </c>
      <c r="BK28" s="23">
        <f t="shared" si="8"/>
        <v>-20.020000000000209</v>
      </c>
      <c r="BL28" s="6">
        <f t="shared" si="9"/>
        <v>-0.99500000000023192</v>
      </c>
      <c r="BM28" s="12">
        <f t="shared" si="10"/>
        <v>2.0000000000209184E-2</v>
      </c>
      <c r="BO28" s="20">
        <f t="shared" si="48"/>
        <v>-1.999999999998181E-2</v>
      </c>
      <c r="BQ28">
        <f t="shared" si="11"/>
        <v>57</v>
      </c>
      <c r="BR28">
        <f t="shared" si="12"/>
        <v>-20</v>
      </c>
      <c r="BS28">
        <f t="shared" si="13"/>
        <v>380</v>
      </c>
      <c r="BT28" s="2">
        <v>-1139.0350000000001</v>
      </c>
      <c r="BU28" s="2">
        <f t="shared" si="14"/>
        <v>380.96499999999946</v>
      </c>
      <c r="BV28" s="23">
        <f t="shared" si="15"/>
        <v>-20.040000000000191</v>
      </c>
      <c r="BW28" s="6">
        <f t="shared" si="16"/>
        <v>-0.9649999999994634</v>
      </c>
      <c r="BX28" s="12">
        <f t="shared" si="17"/>
        <v>4.0000000000190994E-2</v>
      </c>
      <c r="BY28" s="12"/>
      <c r="BZ28" s="20">
        <f t="shared" si="49"/>
        <v>-1.9999999999754436E-2</v>
      </c>
      <c r="CB28">
        <f t="shared" si="18"/>
        <v>57</v>
      </c>
      <c r="CC28">
        <f t="shared" si="19"/>
        <v>-20</v>
      </c>
      <c r="CD28">
        <f t="shared" si="20"/>
        <v>380</v>
      </c>
      <c r="CE28" s="2">
        <v>-1139</v>
      </c>
      <c r="CF28" s="2">
        <f t="shared" si="21"/>
        <v>381</v>
      </c>
      <c r="CG28" s="23">
        <f t="shared" si="22"/>
        <v>-20.059999999999945</v>
      </c>
      <c r="CH28" s="6">
        <f t="shared" si="23"/>
        <v>-1</v>
      </c>
      <c r="CI28" s="12">
        <f t="shared" si="24"/>
        <v>5.999999999994543E-2</v>
      </c>
      <c r="CK28" s="20">
        <f t="shared" si="50"/>
        <v>1.4999999999872671E-2</v>
      </c>
      <c r="CM28">
        <f t="shared" si="25"/>
        <v>57</v>
      </c>
      <c r="CN28">
        <f t="shared" si="26"/>
        <v>-20</v>
      </c>
      <c r="CO28">
        <f t="shared" si="27"/>
        <v>380</v>
      </c>
      <c r="CP28" s="2">
        <v>-1139.0050000000001</v>
      </c>
      <c r="CQ28" s="2">
        <f t="shared" si="28"/>
        <v>380.99499999999966</v>
      </c>
      <c r="CR28" s="23">
        <f t="shared" si="29"/>
        <v>-20.045000000000073</v>
      </c>
      <c r="CS28" s="6">
        <f t="shared" si="30"/>
        <v>-0.99499999999966349</v>
      </c>
      <c r="CT28" s="12">
        <f t="shared" si="31"/>
        <v>4.500000000007276E-2</v>
      </c>
      <c r="CV28" s="20">
        <f t="shared" si="51"/>
        <v>5.999999999994543E-2</v>
      </c>
      <c r="CX28">
        <f t="shared" si="32"/>
        <v>57</v>
      </c>
      <c r="CY28">
        <f t="shared" si="33"/>
        <v>-20</v>
      </c>
      <c r="CZ28">
        <f t="shared" si="34"/>
        <v>380</v>
      </c>
      <c r="DA28" s="2">
        <v>-1139.0150000000001</v>
      </c>
      <c r="DB28" s="2">
        <f t="shared" si="35"/>
        <v>380.98499999999945</v>
      </c>
      <c r="DC28" s="23">
        <f t="shared" si="36"/>
        <v>-19.985000000000127</v>
      </c>
      <c r="DD28" s="6">
        <f t="shared" si="37"/>
        <v>-0.98499999999944521</v>
      </c>
      <c r="DE28" s="12">
        <f t="shared" si="38"/>
        <v>-1.4999999999872671E-2</v>
      </c>
      <c r="DM28" s="2"/>
      <c r="DN28" s="2"/>
      <c r="DO28" s="6"/>
      <c r="DP28" s="12"/>
      <c r="DQ28" s="10"/>
    </row>
    <row r="29" spans="2:121" x14ac:dyDescent="0.45">
      <c r="B29">
        <f t="shared" si="52"/>
        <v>21</v>
      </c>
      <c r="C29">
        <v>20</v>
      </c>
      <c r="D29">
        <f t="shared" si="53"/>
        <v>420</v>
      </c>
      <c r="E29" s="2">
        <v>421.26499999999999</v>
      </c>
      <c r="F29" s="23">
        <f t="shared" si="54"/>
        <v>20.034999999999968</v>
      </c>
      <c r="G29" s="6">
        <f t="shared" si="39"/>
        <v>1.2649999999999864</v>
      </c>
      <c r="H29" s="12">
        <f t="shared" si="55"/>
        <v>3.4999999999968168E-2</v>
      </c>
      <c r="J29" s="20">
        <f t="shared" si="0"/>
        <v>-8.4999999999979536E-2</v>
      </c>
      <c r="K29" s="2"/>
      <c r="L29">
        <f t="shared" si="56"/>
        <v>21</v>
      </c>
      <c r="M29">
        <v>20</v>
      </c>
      <c r="N29">
        <f t="shared" si="57"/>
        <v>420</v>
      </c>
      <c r="O29" s="2">
        <v>421.17</v>
      </c>
      <c r="P29" s="23">
        <f t="shared" si="58"/>
        <v>19.949999999999989</v>
      </c>
      <c r="Q29" s="6">
        <f t="shared" si="40"/>
        <v>1.1700000000000159</v>
      </c>
      <c r="R29" s="27">
        <f t="shared" si="59"/>
        <v>-5.0000000000011369E-2</v>
      </c>
      <c r="S29" s="27"/>
      <c r="T29" s="20">
        <f t="shared" si="1"/>
        <v>0.11500000000000909</v>
      </c>
      <c r="U29" s="2"/>
      <c r="V29">
        <f t="shared" si="60"/>
        <v>21</v>
      </c>
      <c r="W29">
        <v>20</v>
      </c>
      <c r="X29">
        <f t="shared" si="61"/>
        <v>420</v>
      </c>
      <c r="Y29" s="2">
        <v>421.28</v>
      </c>
      <c r="Z29" s="23">
        <f t="shared" si="62"/>
        <v>20.064999999999998</v>
      </c>
      <c r="AA29" s="6">
        <f t="shared" si="41"/>
        <v>1.2799999999999727</v>
      </c>
      <c r="AB29" s="27">
        <f t="shared" si="63"/>
        <v>6.4999999999997726E-2</v>
      </c>
      <c r="AC29" s="27"/>
      <c r="AD29" s="20">
        <f t="shared" si="2"/>
        <v>-6.4999999999997726E-2</v>
      </c>
      <c r="AE29" s="2"/>
      <c r="AF29">
        <f t="shared" si="64"/>
        <v>21</v>
      </c>
      <c r="AG29">
        <v>20</v>
      </c>
      <c r="AH29">
        <f t="shared" si="65"/>
        <v>420</v>
      </c>
      <c r="AI29" s="2">
        <v>421.25</v>
      </c>
      <c r="AJ29" s="23">
        <f t="shared" si="66"/>
        <v>20</v>
      </c>
      <c r="AK29" s="6">
        <f t="shared" si="42"/>
        <v>1.25</v>
      </c>
      <c r="AL29" s="27">
        <f t="shared" si="67"/>
        <v>0</v>
      </c>
      <c r="AM29" s="27"/>
      <c r="AN29" s="20">
        <f t="shared" si="3"/>
        <v>0</v>
      </c>
      <c r="AO29" s="2"/>
      <c r="AP29">
        <f t="shared" si="68"/>
        <v>21</v>
      </c>
      <c r="AQ29">
        <v>20</v>
      </c>
      <c r="AR29">
        <f t="shared" si="69"/>
        <v>420</v>
      </c>
      <c r="AS29" s="2">
        <v>421.22500000000002</v>
      </c>
      <c r="AT29" s="23">
        <f t="shared" si="70"/>
        <v>20</v>
      </c>
      <c r="AU29" s="6">
        <f t="shared" si="43"/>
        <v>1.2250000000000227</v>
      </c>
      <c r="AV29" s="27">
        <f t="shared" si="71"/>
        <v>0</v>
      </c>
      <c r="AW29" s="27"/>
      <c r="AX29" s="27"/>
      <c r="AY29" s="2">
        <f t="shared" si="44"/>
        <v>421.238</v>
      </c>
      <c r="AZ29" s="23">
        <f t="shared" si="45"/>
        <v>20.009999999999991</v>
      </c>
      <c r="BA29" s="6">
        <f t="shared" si="46"/>
        <v>1.2379999999999995</v>
      </c>
      <c r="BB29" s="27">
        <f t="shared" si="47"/>
        <v>9.9999999999909051E-3</v>
      </c>
      <c r="BC29" s="27"/>
      <c r="BD29" s="36"/>
      <c r="BF29">
        <f t="shared" si="4"/>
        <v>56</v>
      </c>
      <c r="BG29">
        <f t="shared" si="5"/>
        <v>-20</v>
      </c>
      <c r="BH29">
        <f t="shared" si="6"/>
        <v>400</v>
      </c>
      <c r="BI29" s="2">
        <v>-1118.9849999999999</v>
      </c>
      <c r="BJ29" s="2">
        <f t="shared" si="7"/>
        <v>401.01500000000044</v>
      </c>
      <c r="BK29" s="23">
        <f t="shared" si="8"/>
        <v>-19.909999999999854</v>
      </c>
      <c r="BL29" s="6">
        <f t="shared" si="9"/>
        <v>-1.0150000000004411</v>
      </c>
      <c r="BM29" s="12">
        <f t="shared" si="10"/>
        <v>-9.0000000000145519E-2</v>
      </c>
      <c r="BO29" s="20">
        <f t="shared" si="48"/>
        <v>4.9999999998817657E-3</v>
      </c>
      <c r="BQ29">
        <f t="shared" si="11"/>
        <v>56</v>
      </c>
      <c r="BR29">
        <f t="shared" si="12"/>
        <v>-20</v>
      </c>
      <c r="BS29">
        <f t="shared" si="13"/>
        <v>400</v>
      </c>
      <c r="BT29" s="2">
        <v>-1118.9949999999999</v>
      </c>
      <c r="BU29" s="2">
        <f t="shared" si="14"/>
        <v>401.00499999999965</v>
      </c>
      <c r="BV29" s="23">
        <f t="shared" si="15"/>
        <v>-19.904999999999973</v>
      </c>
      <c r="BW29" s="6">
        <f t="shared" si="16"/>
        <v>-1.0049999999996544</v>
      </c>
      <c r="BX29" s="12">
        <f t="shared" si="17"/>
        <v>-9.5000000000027285E-2</v>
      </c>
      <c r="BY29" s="12"/>
      <c r="BZ29" s="20">
        <f t="shared" si="49"/>
        <v>5.4999999999836291E-2</v>
      </c>
      <c r="CB29">
        <f t="shared" si="18"/>
        <v>56</v>
      </c>
      <c r="CC29">
        <f t="shared" si="19"/>
        <v>-20</v>
      </c>
      <c r="CD29">
        <f t="shared" si="20"/>
        <v>400</v>
      </c>
      <c r="CE29" s="2">
        <v>-1118.94</v>
      </c>
      <c r="CF29" s="2">
        <f t="shared" si="21"/>
        <v>401.05999999999995</v>
      </c>
      <c r="CG29" s="23">
        <f t="shared" si="22"/>
        <v>-19.850000000000136</v>
      </c>
      <c r="CH29" s="6">
        <f t="shared" si="23"/>
        <v>-1.0599999999999454</v>
      </c>
      <c r="CI29" s="12">
        <f t="shared" si="24"/>
        <v>-0.14999999999986358</v>
      </c>
      <c r="CK29" s="20">
        <f t="shared" si="50"/>
        <v>-1.999999999998181E-2</v>
      </c>
      <c r="CM29">
        <f t="shared" si="25"/>
        <v>56</v>
      </c>
      <c r="CN29">
        <f t="shared" si="26"/>
        <v>-20</v>
      </c>
      <c r="CO29">
        <f t="shared" si="27"/>
        <v>400</v>
      </c>
      <c r="CP29" s="2">
        <v>-1118.96</v>
      </c>
      <c r="CQ29" s="2">
        <f t="shared" si="28"/>
        <v>401.03999999999974</v>
      </c>
      <c r="CR29" s="23">
        <f t="shared" si="29"/>
        <v>-19.870000000000118</v>
      </c>
      <c r="CS29" s="6">
        <f t="shared" si="30"/>
        <v>-1.0399999999997362</v>
      </c>
      <c r="CT29" s="12">
        <f t="shared" si="31"/>
        <v>-0.12999999999988177</v>
      </c>
      <c r="CV29" s="20">
        <f t="shared" si="51"/>
        <v>-6.4999999999827196E-2</v>
      </c>
      <c r="CX29">
        <f t="shared" si="32"/>
        <v>56</v>
      </c>
      <c r="CY29">
        <f t="shared" si="33"/>
        <v>-20</v>
      </c>
      <c r="CZ29">
        <f t="shared" si="34"/>
        <v>400</v>
      </c>
      <c r="DA29" s="2">
        <v>-1119.03</v>
      </c>
      <c r="DB29" s="2">
        <f t="shared" si="35"/>
        <v>400.96999999999957</v>
      </c>
      <c r="DC29" s="23">
        <f t="shared" si="36"/>
        <v>-19.934999999999945</v>
      </c>
      <c r="DD29" s="6">
        <f t="shared" si="37"/>
        <v>-0.96999999999957254</v>
      </c>
      <c r="DE29" s="12">
        <f t="shared" si="38"/>
        <v>-6.500000000005457E-2</v>
      </c>
      <c r="DM29" s="2"/>
      <c r="DN29" s="2"/>
      <c r="DO29" s="6"/>
      <c r="DP29" s="12"/>
      <c r="DQ29" s="10"/>
    </row>
    <row r="30" spans="2:121" x14ac:dyDescent="0.45">
      <c r="B30">
        <f t="shared" si="52"/>
        <v>22</v>
      </c>
      <c r="C30">
        <v>20</v>
      </c>
      <c r="D30">
        <f t="shared" si="53"/>
        <v>440</v>
      </c>
      <c r="E30" s="2">
        <v>441.23</v>
      </c>
      <c r="F30" s="23">
        <f t="shared" si="54"/>
        <v>19.965000000000032</v>
      </c>
      <c r="G30" s="6">
        <f t="shared" si="39"/>
        <v>1.2300000000000182</v>
      </c>
      <c r="H30" s="12">
        <f t="shared" si="55"/>
        <v>-3.4999999999968168E-2</v>
      </c>
      <c r="J30" s="20">
        <f t="shared" si="0"/>
        <v>9.4999999999970441E-2</v>
      </c>
      <c r="K30" s="2"/>
      <c r="L30">
        <f t="shared" si="56"/>
        <v>22</v>
      </c>
      <c r="M30">
        <v>20</v>
      </c>
      <c r="N30">
        <f t="shared" si="57"/>
        <v>440</v>
      </c>
      <c r="O30" s="2">
        <v>441.23</v>
      </c>
      <c r="P30" s="23">
        <f t="shared" si="58"/>
        <v>20.060000000000002</v>
      </c>
      <c r="Q30" s="6">
        <f t="shared" si="40"/>
        <v>1.2300000000000182</v>
      </c>
      <c r="R30" s="27">
        <f t="shared" si="59"/>
        <v>6.0000000000002274E-2</v>
      </c>
      <c r="S30" s="27"/>
      <c r="T30" s="20">
        <f t="shared" si="1"/>
        <v>-0.1099999999999568</v>
      </c>
      <c r="U30" s="2"/>
      <c r="V30">
        <f t="shared" si="60"/>
        <v>22</v>
      </c>
      <c r="W30">
        <v>20</v>
      </c>
      <c r="X30">
        <f t="shared" si="61"/>
        <v>440</v>
      </c>
      <c r="Y30" s="2">
        <v>441.23</v>
      </c>
      <c r="Z30" s="23">
        <f t="shared" si="62"/>
        <v>19.950000000000045</v>
      </c>
      <c r="AA30" s="6">
        <f t="shared" si="41"/>
        <v>1.2300000000000182</v>
      </c>
      <c r="AB30" s="27">
        <f t="shared" si="63"/>
        <v>-4.9999999999954525E-2</v>
      </c>
      <c r="AC30" s="27"/>
      <c r="AD30" s="20">
        <f t="shared" si="2"/>
        <v>2.4999999999977263E-2</v>
      </c>
      <c r="AE30" s="2"/>
      <c r="AF30">
        <f t="shared" si="64"/>
        <v>22</v>
      </c>
      <c r="AG30">
        <v>20</v>
      </c>
      <c r="AH30">
        <f t="shared" si="65"/>
        <v>440</v>
      </c>
      <c r="AI30" s="2">
        <v>441.22500000000002</v>
      </c>
      <c r="AJ30" s="23">
        <f t="shared" si="66"/>
        <v>19.975000000000023</v>
      </c>
      <c r="AK30" s="6">
        <f t="shared" si="42"/>
        <v>1.2250000000000227</v>
      </c>
      <c r="AL30" s="27">
        <f t="shared" si="67"/>
        <v>-2.4999999999977263E-2</v>
      </c>
      <c r="AM30" s="27"/>
      <c r="AN30" s="20">
        <f t="shared" si="3"/>
        <v>9.9999999999340616E-3</v>
      </c>
      <c r="AO30" s="2"/>
      <c r="AP30">
        <f t="shared" si="68"/>
        <v>22</v>
      </c>
      <c r="AQ30">
        <v>20</v>
      </c>
      <c r="AR30">
        <f t="shared" si="69"/>
        <v>440</v>
      </c>
      <c r="AS30" s="2">
        <v>441.21</v>
      </c>
      <c r="AT30" s="23">
        <f t="shared" si="70"/>
        <v>19.984999999999957</v>
      </c>
      <c r="AU30" s="6">
        <f t="shared" si="43"/>
        <v>1.2099999999999795</v>
      </c>
      <c r="AV30" s="27">
        <f t="shared" si="71"/>
        <v>-1.5000000000043201E-2</v>
      </c>
      <c r="AW30" s="27"/>
      <c r="AX30" s="27"/>
      <c r="AY30" s="2">
        <f t="shared" si="44"/>
        <v>441.22500000000002</v>
      </c>
      <c r="AZ30" s="23">
        <f t="shared" si="45"/>
        <v>19.987000000000013</v>
      </c>
      <c r="BA30" s="6">
        <f t="shared" si="46"/>
        <v>1.2250000000000114</v>
      </c>
      <c r="BB30" s="27">
        <f t="shared" si="47"/>
        <v>-1.2999999999988177E-2</v>
      </c>
      <c r="BC30" s="27"/>
      <c r="BD30" s="36"/>
      <c r="BF30">
        <f t="shared" si="4"/>
        <v>55</v>
      </c>
      <c r="BG30">
        <f t="shared" si="5"/>
        <v>-20</v>
      </c>
      <c r="BH30">
        <f t="shared" si="6"/>
        <v>420</v>
      </c>
      <c r="BI30" s="2">
        <v>-1099.075</v>
      </c>
      <c r="BJ30" s="2">
        <f t="shared" si="7"/>
        <v>420.9250000000003</v>
      </c>
      <c r="BK30" s="23">
        <f t="shared" si="8"/>
        <v>-20.025000000000091</v>
      </c>
      <c r="BL30" s="6">
        <f t="shared" si="9"/>
        <v>-0.92500000000029559</v>
      </c>
      <c r="BM30" s="12">
        <f t="shared" si="10"/>
        <v>2.5000000000090949E-2</v>
      </c>
      <c r="BO30" s="20">
        <f t="shared" si="48"/>
        <v>1.0000000000218279E-2</v>
      </c>
      <c r="BQ30">
        <f t="shared" si="11"/>
        <v>55</v>
      </c>
      <c r="BR30">
        <f t="shared" si="12"/>
        <v>-20</v>
      </c>
      <c r="BS30">
        <f t="shared" si="13"/>
        <v>420</v>
      </c>
      <c r="BT30" s="2">
        <v>-1099.0899999999999</v>
      </c>
      <c r="BU30" s="2">
        <f t="shared" si="14"/>
        <v>420.90999999999963</v>
      </c>
      <c r="BV30" s="23">
        <f t="shared" si="15"/>
        <v>-20.014999999999873</v>
      </c>
      <c r="BW30" s="6">
        <f t="shared" si="16"/>
        <v>-0.90999999999962711</v>
      </c>
      <c r="BX30" s="12">
        <f t="shared" si="17"/>
        <v>1.4999999999872671E-2</v>
      </c>
      <c r="BY30" s="12"/>
      <c r="BZ30" s="20">
        <f t="shared" si="49"/>
        <v>-9.9999999999909051E-3</v>
      </c>
      <c r="CB30">
        <f t="shared" si="18"/>
        <v>55</v>
      </c>
      <c r="CC30">
        <f t="shared" si="19"/>
        <v>-20</v>
      </c>
      <c r="CD30">
        <f t="shared" si="20"/>
        <v>420</v>
      </c>
      <c r="CE30" s="2">
        <v>-1099.0899999999999</v>
      </c>
      <c r="CF30" s="2">
        <f t="shared" si="21"/>
        <v>420.91000000000008</v>
      </c>
      <c r="CG30" s="23">
        <f t="shared" si="22"/>
        <v>-20.024999999999864</v>
      </c>
      <c r="CH30" s="6">
        <f t="shared" si="23"/>
        <v>-0.91000000000008185</v>
      </c>
      <c r="CI30" s="12">
        <f t="shared" si="24"/>
        <v>2.4999999999863576E-2</v>
      </c>
      <c r="CK30" s="20">
        <f t="shared" si="50"/>
        <v>9.9999999999909051E-3</v>
      </c>
      <c r="CM30">
        <f t="shared" si="25"/>
        <v>55</v>
      </c>
      <c r="CN30">
        <f t="shared" si="26"/>
        <v>-20</v>
      </c>
      <c r="CO30">
        <f t="shared" si="27"/>
        <v>420</v>
      </c>
      <c r="CP30" s="2">
        <v>-1099.0899999999999</v>
      </c>
      <c r="CQ30" s="2">
        <f t="shared" si="28"/>
        <v>420.90999999999985</v>
      </c>
      <c r="CR30" s="23">
        <f t="shared" si="29"/>
        <v>-20.014999999999873</v>
      </c>
      <c r="CS30" s="6">
        <f t="shared" si="30"/>
        <v>-0.90999999999985448</v>
      </c>
      <c r="CT30" s="12">
        <f t="shared" si="31"/>
        <v>1.4999999999872671E-2</v>
      </c>
      <c r="CV30" s="20">
        <f t="shared" si="51"/>
        <v>-2.2737367544323206E-13</v>
      </c>
      <c r="CX30">
        <f t="shared" si="32"/>
        <v>55</v>
      </c>
      <c r="CY30">
        <f t="shared" si="33"/>
        <v>-20</v>
      </c>
      <c r="CZ30">
        <f t="shared" si="34"/>
        <v>420</v>
      </c>
      <c r="DA30" s="2">
        <v>-1099.095</v>
      </c>
      <c r="DB30" s="2">
        <f t="shared" si="35"/>
        <v>420.90499999999952</v>
      </c>
      <c r="DC30" s="23">
        <f t="shared" si="36"/>
        <v>-20.0150000000001</v>
      </c>
      <c r="DD30" s="6">
        <f t="shared" si="37"/>
        <v>-0.90499999999951797</v>
      </c>
      <c r="DE30" s="12">
        <f t="shared" si="38"/>
        <v>1.5000000000100044E-2</v>
      </c>
      <c r="DM30" s="2"/>
      <c r="DN30" s="2"/>
      <c r="DO30" s="6"/>
      <c r="DP30" s="12"/>
      <c r="DQ30" s="10"/>
    </row>
    <row r="31" spans="2:121" x14ac:dyDescent="0.45">
      <c r="B31">
        <f t="shared" si="52"/>
        <v>23</v>
      </c>
      <c r="C31">
        <v>20</v>
      </c>
      <c r="D31">
        <f t="shared" si="53"/>
        <v>460</v>
      </c>
      <c r="E31" s="2">
        <v>461.125</v>
      </c>
      <c r="F31" s="23">
        <f t="shared" si="54"/>
        <v>19.894999999999982</v>
      </c>
      <c r="G31" s="6">
        <f t="shared" si="39"/>
        <v>1.125</v>
      </c>
      <c r="H31" s="12">
        <f t="shared" si="55"/>
        <v>-0.10500000000001819</v>
      </c>
      <c r="J31" s="20">
        <f t="shared" si="0"/>
        <v>-1.999999999998181E-2</v>
      </c>
      <c r="K31" s="2"/>
      <c r="L31">
        <f t="shared" si="56"/>
        <v>23</v>
      </c>
      <c r="M31">
        <v>20</v>
      </c>
      <c r="N31">
        <f t="shared" si="57"/>
        <v>460</v>
      </c>
      <c r="O31" s="2">
        <v>461.10500000000002</v>
      </c>
      <c r="P31" s="23">
        <f t="shared" si="58"/>
        <v>19.875</v>
      </c>
      <c r="Q31" s="6">
        <f t="shared" si="40"/>
        <v>1.1050000000000182</v>
      </c>
      <c r="R31" s="27">
        <f t="shared" si="59"/>
        <v>-0.125</v>
      </c>
      <c r="S31" s="27"/>
      <c r="T31" s="20">
        <f t="shared" si="1"/>
        <v>3.4999999999968168E-2</v>
      </c>
      <c r="U31" s="2"/>
      <c r="V31">
        <f t="shared" si="60"/>
        <v>23</v>
      </c>
      <c r="W31">
        <v>20</v>
      </c>
      <c r="X31">
        <f t="shared" si="61"/>
        <v>460</v>
      </c>
      <c r="Y31" s="2">
        <v>461.14</v>
      </c>
      <c r="Z31" s="23">
        <f t="shared" si="62"/>
        <v>19.909999999999968</v>
      </c>
      <c r="AA31" s="6">
        <f t="shared" si="41"/>
        <v>1.1399999999999864</v>
      </c>
      <c r="AB31" s="27">
        <f t="shared" si="63"/>
        <v>-9.0000000000031832E-2</v>
      </c>
      <c r="AC31" s="27"/>
      <c r="AD31" s="20">
        <f t="shared" si="2"/>
        <v>-2.9999999999972715E-2</v>
      </c>
      <c r="AE31" s="2"/>
      <c r="AF31">
        <f t="shared" si="64"/>
        <v>23</v>
      </c>
      <c r="AG31">
        <v>20</v>
      </c>
      <c r="AH31">
        <f t="shared" si="65"/>
        <v>460</v>
      </c>
      <c r="AI31" s="2">
        <v>461.10500000000002</v>
      </c>
      <c r="AJ31" s="23">
        <f t="shared" si="66"/>
        <v>19.879999999999995</v>
      </c>
      <c r="AK31" s="6">
        <f t="shared" si="42"/>
        <v>1.1050000000000182</v>
      </c>
      <c r="AL31" s="27">
        <f t="shared" si="67"/>
        <v>-0.12000000000000455</v>
      </c>
      <c r="AM31" s="27"/>
      <c r="AN31" s="20">
        <f t="shared" si="3"/>
        <v>5.0000000000522959E-3</v>
      </c>
      <c r="AO31" s="2"/>
      <c r="AP31">
        <f t="shared" si="68"/>
        <v>23</v>
      </c>
      <c r="AQ31">
        <v>20</v>
      </c>
      <c r="AR31">
        <f t="shared" si="69"/>
        <v>460</v>
      </c>
      <c r="AS31" s="2">
        <v>461.09500000000003</v>
      </c>
      <c r="AT31" s="23">
        <f t="shared" si="70"/>
        <v>19.885000000000048</v>
      </c>
      <c r="AU31" s="6">
        <f t="shared" si="43"/>
        <v>1.0950000000000273</v>
      </c>
      <c r="AV31" s="27">
        <f t="shared" si="71"/>
        <v>-0.11499999999995225</v>
      </c>
      <c r="AW31" s="27"/>
      <c r="AX31" s="27"/>
      <c r="AY31" s="2">
        <f t="shared" si="44"/>
        <v>461.11399999999992</v>
      </c>
      <c r="AZ31" s="23">
        <f t="shared" si="45"/>
        <v>19.888999999999999</v>
      </c>
      <c r="BA31" s="6">
        <f t="shared" si="46"/>
        <v>1.1140000000000101</v>
      </c>
      <c r="BB31" s="27">
        <f t="shared" si="47"/>
        <v>-0.11100000000000136</v>
      </c>
      <c r="BC31" s="27"/>
      <c r="BD31" s="36"/>
      <c r="BF31">
        <f t="shared" si="4"/>
        <v>54</v>
      </c>
      <c r="BG31">
        <f t="shared" si="5"/>
        <v>-20</v>
      </c>
      <c r="BH31">
        <f t="shared" si="6"/>
        <v>440</v>
      </c>
      <c r="BI31" s="2">
        <v>-1079.05</v>
      </c>
      <c r="BJ31" s="2">
        <f t="shared" si="7"/>
        <v>440.95000000000039</v>
      </c>
      <c r="BK31" s="23">
        <f t="shared" si="8"/>
        <v>-19.934999999999945</v>
      </c>
      <c r="BL31" s="6">
        <f t="shared" si="9"/>
        <v>-0.95000000000038654</v>
      </c>
      <c r="BM31" s="12">
        <f t="shared" si="10"/>
        <v>-6.500000000005457E-2</v>
      </c>
      <c r="BO31" s="20">
        <f t="shared" si="48"/>
        <v>-5.0000000001091394E-3</v>
      </c>
      <c r="BQ31">
        <f t="shared" si="11"/>
        <v>54</v>
      </c>
      <c r="BR31">
        <f t="shared" si="12"/>
        <v>-20</v>
      </c>
      <c r="BS31">
        <f t="shared" si="13"/>
        <v>440</v>
      </c>
      <c r="BT31" s="2">
        <v>-1079.075</v>
      </c>
      <c r="BU31" s="2">
        <f t="shared" si="14"/>
        <v>440.9249999999995</v>
      </c>
      <c r="BV31" s="23">
        <f t="shared" si="15"/>
        <v>-19.940000000000055</v>
      </c>
      <c r="BW31" s="6">
        <f t="shared" si="16"/>
        <v>-0.92499999999949978</v>
      </c>
      <c r="BX31" s="12">
        <f t="shared" si="17"/>
        <v>-5.999999999994543E-2</v>
      </c>
      <c r="BY31" s="12"/>
      <c r="BZ31" s="20">
        <f t="shared" si="49"/>
        <v>1.5000000000100044E-2</v>
      </c>
      <c r="CB31">
        <f t="shared" si="18"/>
        <v>54</v>
      </c>
      <c r="CC31">
        <f t="shared" si="19"/>
        <v>-20</v>
      </c>
      <c r="CD31">
        <f t="shared" si="20"/>
        <v>440</v>
      </c>
      <c r="CE31" s="2">
        <v>-1079.0650000000001</v>
      </c>
      <c r="CF31" s="2">
        <f t="shared" si="21"/>
        <v>440.93499999999995</v>
      </c>
      <c r="CG31" s="23">
        <f t="shared" si="22"/>
        <v>-19.924999999999955</v>
      </c>
      <c r="CH31" s="6">
        <f t="shared" si="23"/>
        <v>-0.93499999999994543</v>
      </c>
      <c r="CI31" s="12">
        <f t="shared" si="24"/>
        <v>-7.5000000000045475E-2</v>
      </c>
      <c r="CK31" s="20">
        <f t="shared" si="50"/>
        <v>-9.9999999999909051E-3</v>
      </c>
      <c r="CM31">
        <f t="shared" si="25"/>
        <v>54</v>
      </c>
      <c r="CN31">
        <f t="shared" si="26"/>
        <v>-20</v>
      </c>
      <c r="CO31">
        <f t="shared" si="27"/>
        <v>440</v>
      </c>
      <c r="CP31" s="2">
        <v>-1079.075</v>
      </c>
      <c r="CQ31" s="2">
        <f t="shared" si="28"/>
        <v>440.92499999999973</v>
      </c>
      <c r="CR31" s="23">
        <f t="shared" si="29"/>
        <v>-19.934999999999945</v>
      </c>
      <c r="CS31" s="6">
        <f t="shared" si="30"/>
        <v>-0.92499999999972715</v>
      </c>
      <c r="CT31" s="12">
        <f t="shared" si="31"/>
        <v>-6.500000000005457E-2</v>
      </c>
      <c r="CV31" s="20">
        <f t="shared" si="51"/>
        <v>5.0000000001091394E-3</v>
      </c>
      <c r="CX31">
        <f t="shared" si="32"/>
        <v>54</v>
      </c>
      <c r="CY31">
        <f t="shared" si="33"/>
        <v>-20</v>
      </c>
      <c r="CZ31">
        <f t="shared" si="34"/>
        <v>440</v>
      </c>
      <c r="DA31" s="2">
        <v>-1079.08</v>
      </c>
      <c r="DB31" s="2">
        <f t="shared" si="35"/>
        <v>440.91999999999962</v>
      </c>
      <c r="DC31" s="23">
        <f t="shared" si="36"/>
        <v>-19.929999999999836</v>
      </c>
      <c r="DD31" s="6">
        <f t="shared" si="37"/>
        <v>-0.91999999999961801</v>
      </c>
      <c r="DE31" s="12">
        <f t="shared" si="38"/>
        <v>-7.0000000000163709E-2</v>
      </c>
      <c r="DM31" s="2"/>
      <c r="DN31" s="2"/>
      <c r="DO31" s="6"/>
      <c r="DP31" s="12"/>
      <c r="DQ31" s="10"/>
    </row>
    <row r="32" spans="2:121" x14ac:dyDescent="0.45">
      <c r="B32">
        <f t="shared" si="52"/>
        <v>24</v>
      </c>
      <c r="C32">
        <v>20</v>
      </c>
      <c r="D32">
        <f t="shared" si="53"/>
        <v>480</v>
      </c>
      <c r="E32" s="2">
        <v>481.04</v>
      </c>
      <c r="F32" s="23">
        <f t="shared" si="54"/>
        <v>19.91500000000002</v>
      </c>
      <c r="G32" s="6">
        <f t="shared" si="39"/>
        <v>1.0400000000000205</v>
      </c>
      <c r="H32" s="12">
        <f t="shared" si="55"/>
        <v>-8.4999999999979536E-2</v>
      </c>
      <c r="J32" s="20">
        <f t="shared" si="0"/>
        <v>2.4999999999977263E-2</v>
      </c>
      <c r="K32" s="2"/>
      <c r="L32">
        <f t="shared" si="56"/>
        <v>24</v>
      </c>
      <c r="M32">
        <v>20</v>
      </c>
      <c r="N32">
        <f t="shared" si="57"/>
        <v>480</v>
      </c>
      <c r="O32" s="2">
        <v>481.04500000000002</v>
      </c>
      <c r="P32" s="23">
        <f t="shared" si="58"/>
        <v>19.939999999999998</v>
      </c>
      <c r="Q32" s="6">
        <f t="shared" si="40"/>
        <v>1.0450000000000159</v>
      </c>
      <c r="R32" s="27">
        <f t="shared" si="59"/>
        <v>-6.0000000000002274E-2</v>
      </c>
      <c r="S32" s="27"/>
      <c r="T32" s="20">
        <f t="shared" si="1"/>
        <v>-3.4999999999968168E-2</v>
      </c>
      <c r="U32" s="2"/>
      <c r="V32">
        <f t="shared" si="60"/>
        <v>24</v>
      </c>
      <c r="W32">
        <v>20</v>
      </c>
      <c r="X32">
        <f t="shared" si="61"/>
        <v>480</v>
      </c>
      <c r="Y32" s="2">
        <v>481.04500000000002</v>
      </c>
      <c r="Z32" s="23">
        <f t="shared" si="62"/>
        <v>19.90500000000003</v>
      </c>
      <c r="AA32" s="6">
        <f t="shared" si="41"/>
        <v>1.0450000000000159</v>
      </c>
      <c r="AB32" s="27">
        <f t="shared" si="63"/>
        <v>-9.4999999999970441E-2</v>
      </c>
      <c r="AC32" s="27"/>
      <c r="AD32" s="20">
        <f t="shared" si="2"/>
        <v>2.4999999999977263E-2</v>
      </c>
      <c r="AE32" s="2"/>
      <c r="AF32">
        <f t="shared" si="64"/>
        <v>24</v>
      </c>
      <c r="AG32">
        <v>20</v>
      </c>
      <c r="AH32">
        <f t="shared" si="65"/>
        <v>480</v>
      </c>
      <c r="AI32" s="2">
        <v>481.03500000000003</v>
      </c>
      <c r="AJ32" s="23">
        <f t="shared" si="66"/>
        <v>19.930000000000007</v>
      </c>
      <c r="AK32" s="6">
        <f t="shared" si="42"/>
        <v>1.035000000000025</v>
      </c>
      <c r="AL32" s="27">
        <f t="shared" si="67"/>
        <v>-6.9999999999993179E-2</v>
      </c>
      <c r="AM32" s="27"/>
      <c r="AN32" s="20">
        <f t="shared" si="3"/>
        <v>9.9999999999909051E-3</v>
      </c>
      <c r="AO32" s="2"/>
      <c r="AP32">
        <f t="shared" si="68"/>
        <v>24</v>
      </c>
      <c r="AQ32">
        <v>20</v>
      </c>
      <c r="AR32">
        <f t="shared" si="69"/>
        <v>480</v>
      </c>
      <c r="AS32" s="2">
        <v>481.03500000000003</v>
      </c>
      <c r="AT32" s="23">
        <f t="shared" si="70"/>
        <v>19.939999999999998</v>
      </c>
      <c r="AU32" s="6">
        <f t="shared" si="43"/>
        <v>1.035000000000025</v>
      </c>
      <c r="AV32" s="27">
        <f t="shared" si="71"/>
        <v>-6.0000000000002274E-2</v>
      </c>
      <c r="AW32" s="27"/>
      <c r="AX32" s="27"/>
      <c r="AY32" s="2">
        <f t="shared" si="44"/>
        <v>481.04000000000008</v>
      </c>
      <c r="AZ32" s="23">
        <f t="shared" si="45"/>
        <v>19.926000000000009</v>
      </c>
      <c r="BA32" s="6">
        <f t="shared" si="46"/>
        <v>1.0400000000000205</v>
      </c>
      <c r="BB32" s="27">
        <f t="shared" si="47"/>
        <v>-7.3999999999989546E-2</v>
      </c>
      <c r="BC32" s="27"/>
      <c r="BD32" s="36"/>
      <c r="BF32">
        <f t="shared" si="4"/>
        <v>53</v>
      </c>
      <c r="BG32">
        <f t="shared" si="5"/>
        <v>-20</v>
      </c>
      <c r="BH32">
        <f t="shared" si="6"/>
        <v>460</v>
      </c>
      <c r="BI32" s="2">
        <v>-1059.115</v>
      </c>
      <c r="BJ32" s="2">
        <f t="shared" si="7"/>
        <v>460.88500000000033</v>
      </c>
      <c r="BK32" s="23">
        <f t="shared" si="8"/>
        <v>-19.960000000000036</v>
      </c>
      <c r="BL32" s="6">
        <f t="shared" si="9"/>
        <v>-0.88500000000033197</v>
      </c>
      <c r="BM32" s="12">
        <f t="shared" si="10"/>
        <v>-3.999999999996362E-2</v>
      </c>
      <c r="BO32" s="20">
        <f t="shared" si="48"/>
        <v>-4.9999999998817657E-3</v>
      </c>
      <c r="BQ32">
        <f t="shared" si="11"/>
        <v>53</v>
      </c>
      <c r="BR32">
        <f t="shared" si="12"/>
        <v>-20</v>
      </c>
      <c r="BS32">
        <f t="shared" si="13"/>
        <v>460</v>
      </c>
      <c r="BT32" s="2">
        <v>-1059.135</v>
      </c>
      <c r="BU32" s="2">
        <f t="shared" si="14"/>
        <v>460.86499999999955</v>
      </c>
      <c r="BV32" s="23">
        <f t="shared" si="15"/>
        <v>-19.964999999999918</v>
      </c>
      <c r="BW32" s="6">
        <f t="shared" si="16"/>
        <v>-0.86499999999955435</v>
      </c>
      <c r="BX32" s="12">
        <f t="shared" si="17"/>
        <v>-3.5000000000081855E-2</v>
      </c>
      <c r="BY32" s="12"/>
      <c r="BZ32" s="20">
        <f t="shared" si="49"/>
        <v>-1.0000000000218279E-2</v>
      </c>
      <c r="CB32">
        <f t="shared" si="18"/>
        <v>53</v>
      </c>
      <c r="CC32">
        <f t="shared" si="19"/>
        <v>-20</v>
      </c>
      <c r="CD32">
        <f t="shared" si="20"/>
        <v>460</v>
      </c>
      <c r="CE32" s="2">
        <v>-1059.1400000000001</v>
      </c>
      <c r="CF32" s="2">
        <f t="shared" si="21"/>
        <v>460.8599999999999</v>
      </c>
      <c r="CG32" s="23">
        <f t="shared" si="22"/>
        <v>-19.975000000000136</v>
      </c>
      <c r="CH32" s="6">
        <f t="shared" si="23"/>
        <v>-0.85999999999989996</v>
      </c>
      <c r="CI32" s="12">
        <f t="shared" si="24"/>
        <v>-2.4999999999863576E-2</v>
      </c>
      <c r="CK32" s="20">
        <f t="shared" si="50"/>
        <v>5.0000000001091394E-3</v>
      </c>
      <c r="CM32">
        <f t="shared" si="25"/>
        <v>53</v>
      </c>
      <c r="CN32">
        <f t="shared" si="26"/>
        <v>-20</v>
      </c>
      <c r="CO32">
        <f t="shared" si="27"/>
        <v>460</v>
      </c>
      <c r="CP32" s="2">
        <v>-1059.1400000000001</v>
      </c>
      <c r="CQ32" s="2">
        <f t="shared" si="28"/>
        <v>460.85999999999967</v>
      </c>
      <c r="CR32" s="23">
        <f t="shared" si="29"/>
        <v>-19.970000000000027</v>
      </c>
      <c r="CS32" s="6">
        <f t="shared" si="30"/>
        <v>-0.85999999999967258</v>
      </c>
      <c r="CT32" s="12">
        <f t="shared" si="31"/>
        <v>-2.9999999999972715E-2</v>
      </c>
      <c r="CV32" s="20">
        <f t="shared" si="51"/>
        <v>0</v>
      </c>
      <c r="CX32">
        <f t="shared" si="32"/>
        <v>53</v>
      </c>
      <c r="CY32">
        <f t="shared" si="33"/>
        <v>-20</v>
      </c>
      <c r="CZ32">
        <f t="shared" si="34"/>
        <v>460</v>
      </c>
      <c r="DA32" s="2">
        <v>-1059.1500000000001</v>
      </c>
      <c r="DB32" s="2">
        <f t="shared" si="35"/>
        <v>460.84999999999945</v>
      </c>
      <c r="DC32" s="23">
        <f t="shared" si="36"/>
        <v>-19.970000000000027</v>
      </c>
      <c r="DD32" s="6">
        <f t="shared" si="37"/>
        <v>-0.8499999999994543</v>
      </c>
      <c r="DE32" s="12">
        <f t="shared" si="38"/>
        <v>-2.9999999999972715E-2</v>
      </c>
      <c r="DM32" s="2"/>
      <c r="DN32" s="2"/>
      <c r="DO32" s="6"/>
      <c r="DP32" s="12"/>
      <c r="DQ32" s="10"/>
    </row>
    <row r="33" spans="2:121" x14ac:dyDescent="0.45">
      <c r="B33">
        <f t="shared" si="52"/>
        <v>25</v>
      </c>
      <c r="C33">
        <v>20</v>
      </c>
      <c r="D33">
        <f t="shared" si="53"/>
        <v>500</v>
      </c>
      <c r="E33" s="2">
        <v>501.02499999999998</v>
      </c>
      <c r="F33" s="23">
        <f t="shared" si="54"/>
        <v>19.984999999999957</v>
      </c>
      <c r="G33" s="6">
        <f t="shared" si="39"/>
        <v>1.0249999999999773</v>
      </c>
      <c r="H33" s="12">
        <f t="shared" si="55"/>
        <v>-1.5000000000043201E-2</v>
      </c>
      <c r="J33" s="20">
        <f t="shared" si="0"/>
        <v>-4.9999999999954525E-3</v>
      </c>
      <c r="K33" s="2"/>
      <c r="L33">
        <f t="shared" si="56"/>
        <v>25</v>
      </c>
      <c r="M33">
        <v>20</v>
      </c>
      <c r="N33">
        <f t="shared" si="57"/>
        <v>500</v>
      </c>
      <c r="O33" s="2">
        <v>501.02499999999998</v>
      </c>
      <c r="P33" s="23">
        <f t="shared" si="58"/>
        <v>19.979999999999961</v>
      </c>
      <c r="Q33" s="6">
        <f t="shared" si="40"/>
        <v>1.0249999999999773</v>
      </c>
      <c r="R33" s="27">
        <f t="shared" si="59"/>
        <v>-2.0000000000038654E-2</v>
      </c>
      <c r="S33" s="27"/>
      <c r="T33" s="20">
        <f t="shared" si="1"/>
        <v>-4.9999999999954525E-3</v>
      </c>
      <c r="U33" s="2"/>
      <c r="V33">
        <f t="shared" si="60"/>
        <v>25</v>
      </c>
      <c r="W33">
        <v>20</v>
      </c>
      <c r="X33">
        <f t="shared" si="61"/>
        <v>500</v>
      </c>
      <c r="Y33" s="2">
        <v>501.02</v>
      </c>
      <c r="Z33" s="23">
        <f t="shared" si="62"/>
        <v>19.974999999999966</v>
      </c>
      <c r="AA33" s="6">
        <f t="shared" si="41"/>
        <v>1.0199999999999818</v>
      </c>
      <c r="AB33" s="27">
        <f t="shared" si="63"/>
        <v>-2.5000000000034106E-2</v>
      </c>
      <c r="AC33" s="27"/>
      <c r="AD33" s="20">
        <f t="shared" si="2"/>
        <v>9.9999999999909051E-3</v>
      </c>
      <c r="AE33" s="2"/>
      <c r="AF33">
        <f t="shared" si="64"/>
        <v>25</v>
      </c>
      <c r="AG33">
        <v>20</v>
      </c>
      <c r="AH33">
        <f t="shared" si="65"/>
        <v>500</v>
      </c>
      <c r="AI33" s="2">
        <v>501.02</v>
      </c>
      <c r="AJ33" s="23">
        <f t="shared" si="66"/>
        <v>19.984999999999957</v>
      </c>
      <c r="AK33" s="6">
        <f t="shared" si="42"/>
        <v>1.0199999999999818</v>
      </c>
      <c r="AL33" s="27">
        <f t="shared" si="67"/>
        <v>-1.5000000000043201E-2</v>
      </c>
      <c r="AM33" s="27"/>
      <c r="AN33" s="20">
        <f t="shared" si="3"/>
        <v>-1.4999999999986358E-2</v>
      </c>
      <c r="AO33" s="2"/>
      <c r="AP33">
        <f t="shared" si="68"/>
        <v>25</v>
      </c>
      <c r="AQ33">
        <v>20</v>
      </c>
      <c r="AR33">
        <f t="shared" si="69"/>
        <v>500</v>
      </c>
      <c r="AS33" s="2">
        <v>501.005</v>
      </c>
      <c r="AT33" s="23">
        <f t="shared" si="70"/>
        <v>19.96999999999997</v>
      </c>
      <c r="AU33" s="6">
        <f t="shared" si="43"/>
        <v>1.0049999999999955</v>
      </c>
      <c r="AV33" s="27">
        <f t="shared" si="71"/>
        <v>-3.0000000000029559E-2</v>
      </c>
      <c r="AW33" s="27"/>
      <c r="AX33" s="27"/>
      <c r="AY33" s="2">
        <f t="shared" si="44"/>
        <v>501.01899999999995</v>
      </c>
      <c r="AZ33" s="23">
        <f t="shared" si="45"/>
        <v>19.978999999999964</v>
      </c>
      <c r="BA33" s="6">
        <f t="shared" si="46"/>
        <v>1.0189999999999828</v>
      </c>
      <c r="BB33" s="27">
        <f t="shared" si="47"/>
        <v>-2.1000000000037745E-2</v>
      </c>
      <c r="BC33" s="27"/>
      <c r="BD33" s="36"/>
      <c r="BF33">
        <f t="shared" si="4"/>
        <v>52</v>
      </c>
      <c r="BG33">
        <f t="shared" si="5"/>
        <v>-20</v>
      </c>
      <c r="BH33">
        <f t="shared" si="6"/>
        <v>480</v>
      </c>
      <c r="BI33" s="2">
        <v>-1039.155</v>
      </c>
      <c r="BJ33" s="2">
        <f t="shared" si="7"/>
        <v>480.84500000000037</v>
      </c>
      <c r="BK33" s="23">
        <f t="shared" si="8"/>
        <v>-19.959999999999923</v>
      </c>
      <c r="BL33" s="6">
        <f t="shared" si="9"/>
        <v>-0.84500000000036835</v>
      </c>
      <c r="BM33" s="12">
        <f t="shared" si="10"/>
        <v>-4.0000000000077307E-2</v>
      </c>
      <c r="BO33" s="20">
        <f t="shared" si="48"/>
        <v>4.9999999998817657E-3</v>
      </c>
      <c r="BQ33">
        <f t="shared" si="11"/>
        <v>52</v>
      </c>
      <c r="BR33">
        <f t="shared" si="12"/>
        <v>-20</v>
      </c>
      <c r="BS33">
        <f t="shared" si="13"/>
        <v>480</v>
      </c>
      <c r="BT33" s="2">
        <v>-1039.17</v>
      </c>
      <c r="BU33" s="2">
        <f t="shared" si="14"/>
        <v>480.82999999999947</v>
      </c>
      <c r="BV33" s="23">
        <f t="shared" si="15"/>
        <v>-19.955000000000041</v>
      </c>
      <c r="BW33" s="6">
        <f t="shared" si="16"/>
        <v>-0.82999999999947249</v>
      </c>
      <c r="BX33" s="12">
        <f t="shared" si="17"/>
        <v>-4.4999999999959073E-2</v>
      </c>
      <c r="BY33" s="12"/>
      <c r="BZ33" s="20">
        <f t="shared" si="49"/>
        <v>1.0000000000104592E-2</v>
      </c>
      <c r="CB33">
        <f t="shared" si="18"/>
        <v>52</v>
      </c>
      <c r="CC33">
        <f t="shared" si="19"/>
        <v>-20</v>
      </c>
      <c r="CD33">
        <f t="shared" si="20"/>
        <v>480</v>
      </c>
      <c r="CE33" s="2">
        <v>-1039.165</v>
      </c>
      <c r="CF33" s="2">
        <f t="shared" si="21"/>
        <v>480.83500000000004</v>
      </c>
      <c r="CG33" s="23">
        <f t="shared" si="22"/>
        <v>-19.944999999999936</v>
      </c>
      <c r="CH33" s="6">
        <f t="shared" si="23"/>
        <v>-0.83500000000003638</v>
      </c>
      <c r="CI33" s="12">
        <f t="shared" si="24"/>
        <v>-5.5000000000063665E-2</v>
      </c>
      <c r="CK33" s="20">
        <f t="shared" si="50"/>
        <v>-1.0000000000104592E-2</v>
      </c>
      <c r="CM33">
        <f t="shared" si="25"/>
        <v>52</v>
      </c>
      <c r="CN33">
        <f t="shared" si="26"/>
        <v>-20</v>
      </c>
      <c r="CO33">
        <f t="shared" si="27"/>
        <v>480</v>
      </c>
      <c r="CP33" s="2">
        <v>-1039.17</v>
      </c>
      <c r="CQ33" s="2">
        <f t="shared" si="28"/>
        <v>480.8299999999997</v>
      </c>
      <c r="CR33" s="23">
        <f t="shared" si="29"/>
        <v>-19.955000000000041</v>
      </c>
      <c r="CS33" s="6">
        <f t="shared" si="30"/>
        <v>-0.82999999999969987</v>
      </c>
      <c r="CT33" s="12">
        <f t="shared" si="31"/>
        <v>-4.4999999999959073E-2</v>
      </c>
      <c r="CV33" s="20">
        <f t="shared" si="51"/>
        <v>9.9999999999909051E-3</v>
      </c>
      <c r="CX33">
        <f t="shared" si="32"/>
        <v>52</v>
      </c>
      <c r="CY33">
        <f t="shared" si="33"/>
        <v>-20</v>
      </c>
      <c r="CZ33">
        <f t="shared" si="34"/>
        <v>480</v>
      </c>
      <c r="DA33" s="2">
        <v>-1039.18</v>
      </c>
      <c r="DB33" s="2">
        <f t="shared" si="35"/>
        <v>480.81999999999948</v>
      </c>
      <c r="DC33" s="23">
        <f t="shared" si="36"/>
        <v>-19.94500000000005</v>
      </c>
      <c r="DD33" s="6">
        <f t="shared" si="37"/>
        <v>-0.81999999999948159</v>
      </c>
      <c r="DE33" s="12">
        <f t="shared" si="38"/>
        <v>-5.4999999999949978E-2</v>
      </c>
      <c r="DM33" s="2"/>
      <c r="DN33" s="2"/>
      <c r="DO33" s="6"/>
      <c r="DP33" s="12"/>
      <c r="DQ33" s="10"/>
    </row>
    <row r="34" spans="2:121" x14ac:dyDescent="0.45">
      <c r="B34">
        <f t="shared" si="52"/>
        <v>26</v>
      </c>
      <c r="C34">
        <v>20</v>
      </c>
      <c r="D34">
        <f t="shared" si="53"/>
        <v>520</v>
      </c>
      <c r="E34" s="2">
        <v>521.04499999999996</v>
      </c>
      <c r="F34" s="23">
        <f t="shared" si="54"/>
        <v>20.019999999999982</v>
      </c>
      <c r="G34" s="6">
        <f t="shared" si="39"/>
        <v>1.0449999999999591</v>
      </c>
      <c r="H34" s="12">
        <f t="shared" si="55"/>
        <v>1.999999999998181E-2</v>
      </c>
      <c r="J34" s="20">
        <f t="shared" si="0"/>
        <v>-2.9999999999972715E-2</v>
      </c>
      <c r="K34" s="2"/>
      <c r="L34">
        <f t="shared" si="56"/>
        <v>26</v>
      </c>
      <c r="M34">
        <v>20</v>
      </c>
      <c r="N34">
        <f t="shared" si="57"/>
        <v>520</v>
      </c>
      <c r="O34" s="2">
        <v>521.01499999999999</v>
      </c>
      <c r="P34" s="23">
        <f t="shared" si="58"/>
        <v>19.990000000000009</v>
      </c>
      <c r="Q34" s="6">
        <f t="shared" si="40"/>
        <v>1.0149999999999864</v>
      </c>
      <c r="R34" s="27">
        <f t="shared" si="59"/>
        <v>-9.9999999999909051E-3</v>
      </c>
      <c r="S34" s="27"/>
      <c r="T34" s="20">
        <f t="shared" si="1"/>
        <v>4.4999999999959073E-2</v>
      </c>
      <c r="U34" s="2"/>
      <c r="V34">
        <f t="shared" si="60"/>
        <v>26</v>
      </c>
      <c r="W34">
        <v>20</v>
      </c>
      <c r="X34">
        <f t="shared" si="61"/>
        <v>520</v>
      </c>
      <c r="Y34" s="2">
        <v>521.05499999999995</v>
      </c>
      <c r="Z34" s="23">
        <f t="shared" si="62"/>
        <v>20.034999999999968</v>
      </c>
      <c r="AA34" s="6">
        <f t="shared" si="41"/>
        <v>1.05499999999995</v>
      </c>
      <c r="AB34" s="27">
        <f t="shared" si="63"/>
        <v>3.4999999999968168E-2</v>
      </c>
      <c r="AC34" s="27"/>
      <c r="AD34" s="20">
        <f t="shared" si="2"/>
        <v>-1.4999999999986358E-2</v>
      </c>
      <c r="AE34" s="2"/>
      <c r="AF34">
        <f t="shared" si="64"/>
        <v>26</v>
      </c>
      <c r="AG34">
        <v>20</v>
      </c>
      <c r="AH34">
        <f t="shared" si="65"/>
        <v>520</v>
      </c>
      <c r="AI34" s="2">
        <v>521.04</v>
      </c>
      <c r="AJ34" s="23">
        <f t="shared" si="66"/>
        <v>20.019999999999982</v>
      </c>
      <c r="AK34" s="6">
        <f t="shared" si="42"/>
        <v>1.0399999999999636</v>
      </c>
      <c r="AL34" s="27">
        <f t="shared" si="67"/>
        <v>1.999999999998181E-2</v>
      </c>
      <c r="AM34" s="27"/>
      <c r="AN34" s="20">
        <f t="shared" si="3"/>
        <v>-2.4999999999977263E-2</v>
      </c>
      <c r="AO34" s="2"/>
      <c r="AP34">
        <f t="shared" si="68"/>
        <v>26</v>
      </c>
      <c r="AQ34">
        <v>20</v>
      </c>
      <c r="AR34">
        <f t="shared" si="69"/>
        <v>520</v>
      </c>
      <c r="AS34" s="2">
        <v>521</v>
      </c>
      <c r="AT34" s="23">
        <f t="shared" si="70"/>
        <v>19.995000000000005</v>
      </c>
      <c r="AU34" s="6">
        <f t="shared" si="43"/>
        <v>1</v>
      </c>
      <c r="AV34" s="27">
        <f t="shared" si="71"/>
        <v>-4.9999999999954525E-3</v>
      </c>
      <c r="AW34" s="27"/>
      <c r="AX34" s="27"/>
      <c r="AY34" s="2">
        <f t="shared" si="44"/>
        <v>521.03099999999995</v>
      </c>
      <c r="AZ34" s="23">
        <f t="shared" si="45"/>
        <v>20.01199999999999</v>
      </c>
      <c r="BA34" s="6">
        <f t="shared" si="46"/>
        <v>1.0309999999999717</v>
      </c>
      <c r="BB34" s="27">
        <f t="shared" si="47"/>
        <v>1.1999999999989085E-2</v>
      </c>
      <c r="BC34" s="27"/>
      <c r="BD34" s="36"/>
      <c r="BF34">
        <f t="shared" si="4"/>
        <v>51</v>
      </c>
      <c r="BG34">
        <f t="shared" si="5"/>
        <v>-20</v>
      </c>
      <c r="BH34">
        <f t="shared" si="6"/>
        <v>500</v>
      </c>
      <c r="BI34" s="2">
        <v>-1019.1950000000001</v>
      </c>
      <c r="BJ34" s="2">
        <f t="shared" si="7"/>
        <v>500.80500000000029</v>
      </c>
      <c r="BK34" s="23">
        <f t="shared" si="8"/>
        <v>-19.975000000000023</v>
      </c>
      <c r="BL34" s="6">
        <f t="shared" si="9"/>
        <v>-0.80500000000029104</v>
      </c>
      <c r="BM34" s="12">
        <f t="shared" si="10"/>
        <v>-2.4999999999977263E-2</v>
      </c>
      <c r="BO34" s="20">
        <f t="shared" si="48"/>
        <v>-9.9999999999909051E-3</v>
      </c>
      <c r="BQ34">
        <f t="shared" si="11"/>
        <v>51</v>
      </c>
      <c r="BR34">
        <f t="shared" si="12"/>
        <v>-20</v>
      </c>
      <c r="BS34">
        <f t="shared" si="13"/>
        <v>500</v>
      </c>
      <c r="BT34" s="2">
        <v>-1019.215</v>
      </c>
      <c r="BU34" s="2">
        <f t="shared" si="14"/>
        <v>500.78499999999951</v>
      </c>
      <c r="BV34" s="23">
        <f t="shared" si="15"/>
        <v>-19.985000000000014</v>
      </c>
      <c r="BW34" s="6">
        <f t="shared" si="16"/>
        <v>-0.78499999999951342</v>
      </c>
      <c r="BX34" s="12">
        <f t="shared" si="17"/>
        <v>-1.4999999999986358E-2</v>
      </c>
      <c r="BY34" s="12"/>
      <c r="BZ34" s="20">
        <f t="shared" si="49"/>
        <v>-9.9999999999909051E-3</v>
      </c>
      <c r="CB34">
        <f t="shared" si="18"/>
        <v>51</v>
      </c>
      <c r="CC34">
        <f t="shared" si="19"/>
        <v>-20</v>
      </c>
      <c r="CD34">
        <f t="shared" si="20"/>
        <v>500</v>
      </c>
      <c r="CE34" s="2">
        <v>-1019.22</v>
      </c>
      <c r="CF34" s="2">
        <f t="shared" si="21"/>
        <v>500.78</v>
      </c>
      <c r="CG34" s="23">
        <f t="shared" si="22"/>
        <v>-19.995000000000005</v>
      </c>
      <c r="CH34" s="6">
        <f t="shared" si="23"/>
        <v>-0.77999999999997272</v>
      </c>
      <c r="CI34" s="12">
        <f t="shared" si="24"/>
        <v>-4.9999999999954525E-3</v>
      </c>
      <c r="CK34" s="20">
        <f t="shared" si="50"/>
        <v>2.9999999999972715E-2</v>
      </c>
      <c r="CM34">
        <f t="shared" si="25"/>
        <v>51</v>
      </c>
      <c r="CN34">
        <f t="shared" si="26"/>
        <v>-20</v>
      </c>
      <c r="CO34">
        <f t="shared" si="27"/>
        <v>500</v>
      </c>
      <c r="CP34" s="2">
        <v>-1019.215</v>
      </c>
      <c r="CQ34" s="2">
        <f t="shared" si="28"/>
        <v>500.78499999999974</v>
      </c>
      <c r="CR34" s="23">
        <f t="shared" si="29"/>
        <v>-19.965000000000032</v>
      </c>
      <c r="CS34" s="6">
        <f t="shared" si="30"/>
        <v>-0.78499999999974079</v>
      </c>
      <c r="CT34" s="12">
        <f t="shared" si="31"/>
        <v>-3.4999999999968168E-2</v>
      </c>
      <c r="CV34" s="20">
        <f t="shared" si="51"/>
        <v>-2.9999999999972715E-2</v>
      </c>
      <c r="CX34">
        <f t="shared" si="32"/>
        <v>51</v>
      </c>
      <c r="CY34">
        <f t="shared" si="33"/>
        <v>-20</v>
      </c>
      <c r="CZ34">
        <f t="shared" si="34"/>
        <v>500</v>
      </c>
      <c r="DA34" s="2">
        <v>-1019.235</v>
      </c>
      <c r="DB34" s="2">
        <f t="shared" si="35"/>
        <v>500.76499999999953</v>
      </c>
      <c r="DC34" s="23">
        <f t="shared" si="36"/>
        <v>-19.995000000000005</v>
      </c>
      <c r="DD34" s="6">
        <f t="shared" si="37"/>
        <v>-0.76499999999953161</v>
      </c>
      <c r="DE34" s="12">
        <f t="shared" si="38"/>
        <v>-4.9999999999954525E-3</v>
      </c>
      <c r="DM34" s="2"/>
      <c r="DN34" s="2"/>
      <c r="DO34" s="6"/>
      <c r="DP34" s="12"/>
      <c r="DQ34" s="10"/>
    </row>
    <row r="35" spans="2:121" x14ac:dyDescent="0.45">
      <c r="B35">
        <f t="shared" si="52"/>
        <v>27</v>
      </c>
      <c r="C35">
        <v>20</v>
      </c>
      <c r="D35">
        <f t="shared" si="53"/>
        <v>540</v>
      </c>
      <c r="E35" s="2">
        <v>541.09500000000003</v>
      </c>
      <c r="F35" s="23">
        <f t="shared" si="54"/>
        <v>20.050000000000068</v>
      </c>
      <c r="G35" s="6">
        <f t="shared" si="39"/>
        <v>1.0950000000000273</v>
      </c>
      <c r="H35" s="12">
        <f t="shared" si="55"/>
        <v>5.0000000000068212E-2</v>
      </c>
      <c r="J35" s="20">
        <f t="shared" si="0"/>
        <v>2.4999999999977263E-2</v>
      </c>
      <c r="K35" s="2"/>
      <c r="L35">
        <f t="shared" si="56"/>
        <v>27</v>
      </c>
      <c r="M35">
        <v>20</v>
      </c>
      <c r="N35">
        <f t="shared" si="57"/>
        <v>540</v>
      </c>
      <c r="O35" s="2">
        <v>541.09</v>
      </c>
      <c r="P35" s="23">
        <f t="shared" si="58"/>
        <v>20.075000000000045</v>
      </c>
      <c r="Q35" s="6">
        <f t="shared" si="40"/>
        <v>1.0900000000000318</v>
      </c>
      <c r="R35" s="27">
        <f t="shared" si="59"/>
        <v>7.5000000000045475E-2</v>
      </c>
      <c r="S35" s="27"/>
      <c r="T35" s="20">
        <f t="shared" si="1"/>
        <v>-7.0000000000050022E-2</v>
      </c>
      <c r="U35" s="2"/>
      <c r="V35">
        <f t="shared" si="60"/>
        <v>27</v>
      </c>
      <c r="W35">
        <v>20</v>
      </c>
      <c r="X35">
        <f t="shared" si="61"/>
        <v>540</v>
      </c>
      <c r="Y35" s="2">
        <v>541.05999999999995</v>
      </c>
      <c r="Z35" s="23">
        <f t="shared" si="62"/>
        <v>20.004999999999995</v>
      </c>
      <c r="AA35" s="6">
        <f t="shared" si="41"/>
        <v>1.0599999999999454</v>
      </c>
      <c r="AB35" s="27">
        <f t="shared" si="63"/>
        <v>4.9999999999954525E-3</v>
      </c>
      <c r="AC35" s="27"/>
      <c r="AD35" s="20">
        <f t="shared" si="2"/>
        <v>2.5000000000090949E-2</v>
      </c>
      <c r="AE35" s="2"/>
      <c r="AF35">
        <f t="shared" si="64"/>
        <v>27</v>
      </c>
      <c r="AG35">
        <v>20</v>
      </c>
      <c r="AH35">
        <f t="shared" si="65"/>
        <v>540</v>
      </c>
      <c r="AI35" s="2">
        <v>541.07000000000005</v>
      </c>
      <c r="AJ35" s="23">
        <f t="shared" si="66"/>
        <v>20.030000000000086</v>
      </c>
      <c r="AK35" s="6">
        <f t="shared" si="42"/>
        <v>1.07000000000005</v>
      </c>
      <c r="AL35" s="27">
        <f t="shared" si="67"/>
        <v>3.0000000000086402E-2</v>
      </c>
      <c r="AM35" s="27"/>
      <c r="AN35" s="20">
        <f t="shared" si="3"/>
        <v>2.9999999999859028E-2</v>
      </c>
      <c r="AO35" s="2"/>
      <c r="AP35">
        <f t="shared" si="68"/>
        <v>27</v>
      </c>
      <c r="AQ35">
        <v>20</v>
      </c>
      <c r="AR35">
        <f t="shared" si="69"/>
        <v>540</v>
      </c>
      <c r="AS35" s="2">
        <v>541.05999999999995</v>
      </c>
      <c r="AT35" s="23">
        <f t="shared" si="70"/>
        <v>20.059999999999945</v>
      </c>
      <c r="AU35" s="6">
        <f t="shared" si="43"/>
        <v>1.0599999999999454</v>
      </c>
      <c r="AV35" s="27">
        <f t="shared" si="71"/>
        <v>5.999999999994543E-2</v>
      </c>
      <c r="AW35" s="27"/>
      <c r="AX35" s="27"/>
      <c r="AY35" s="2">
        <f t="shared" si="44"/>
        <v>541.07500000000005</v>
      </c>
      <c r="AZ35" s="23">
        <f t="shared" si="45"/>
        <v>20.044000000000029</v>
      </c>
      <c r="BA35" s="6">
        <f t="shared" si="46"/>
        <v>1.075</v>
      </c>
      <c r="BB35" s="27">
        <f t="shared" si="47"/>
        <v>4.4000000000028197E-2</v>
      </c>
      <c r="BC35" s="27"/>
      <c r="BD35" s="36"/>
      <c r="BF35">
        <f t="shared" si="4"/>
        <v>50</v>
      </c>
      <c r="BG35">
        <f t="shared" si="5"/>
        <v>-20</v>
      </c>
      <c r="BH35">
        <f t="shared" si="6"/>
        <v>520</v>
      </c>
      <c r="BI35" s="2">
        <v>-999.22</v>
      </c>
      <c r="BJ35" s="2">
        <f t="shared" si="7"/>
        <v>520.78000000000031</v>
      </c>
      <c r="BK35" s="23">
        <f t="shared" si="8"/>
        <v>-19.995000000000005</v>
      </c>
      <c r="BL35" s="6">
        <f t="shared" si="9"/>
        <v>-0.78000000000031378</v>
      </c>
      <c r="BM35" s="12">
        <f t="shared" si="10"/>
        <v>-4.9999999999954525E-3</v>
      </c>
      <c r="BO35" s="20">
        <f t="shared" si="48"/>
        <v>1.4999999999986358E-2</v>
      </c>
      <c r="BQ35">
        <f t="shared" si="11"/>
        <v>50</v>
      </c>
      <c r="BR35">
        <f t="shared" si="12"/>
        <v>-20</v>
      </c>
      <c r="BS35">
        <f t="shared" si="13"/>
        <v>520</v>
      </c>
      <c r="BT35" s="2">
        <v>-999.23</v>
      </c>
      <c r="BU35" s="2">
        <f t="shared" si="14"/>
        <v>520.76999999999953</v>
      </c>
      <c r="BV35" s="23">
        <f t="shared" si="15"/>
        <v>-19.980000000000018</v>
      </c>
      <c r="BW35" s="6">
        <f t="shared" si="16"/>
        <v>-0.76999999999952706</v>
      </c>
      <c r="BX35" s="12">
        <f t="shared" si="17"/>
        <v>-1.999999999998181E-2</v>
      </c>
      <c r="BY35" s="12"/>
      <c r="BZ35" s="20">
        <f t="shared" si="49"/>
        <v>9.9999999999909051E-3</v>
      </c>
      <c r="CB35">
        <f t="shared" si="18"/>
        <v>50</v>
      </c>
      <c r="CC35">
        <f t="shared" si="19"/>
        <v>-20</v>
      </c>
      <c r="CD35">
        <f t="shared" si="20"/>
        <v>520</v>
      </c>
      <c r="CE35" s="2">
        <v>-999.22500000000002</v>
      </c>
      <c r="CF35" s="2">
        <f t="shared" si="21"/>
        <v>520.77499999999998</v>
      </c>
      <c r="CG35" s="23">
        <f t="shared" si="22"/>
        <v>-19.970000000000027</v>
      </c>
      <c r="CH35" s="6">
        <f t="shared" si="23"/>
        <v>-0.77499999999997726</v>
      </c>
      <c r="CI35" s="12">
        <f t="shared" si="24"/>
        <v>-2.9999999999972715E-2</v>
      </c>
      <c r="CK35" s="20">
        <f t="shared" si="50"/>
        <v>-2.9999999999972715E-2</v>
      </c>
      <c r="CM35">
        <f t="shared" si="25"/>
        <v>50</v>
      </c>
      <c r="CN35">
        <f t="shared" si="26"/>
        <v>-20</v>
      </c>
      <c r="CO35">
        <f t="shared" si="27"/>
        <v>520</v>
      </c>
      <c r="CP35" s="2">
        <v>-999.25</v>
      </c>
      <c r="CQ35" s="2">
        <f t="shared" si="28"/>
        <v>520.74999999999977</v>
      </c>
      <c r="CR35" s="23">
        <f t="shared" si="29"/>
        <v>-20</v>
      </c>
      <c r="CS35" s="6">
        <f t="shared" si="30"/>
        <v>-0.74999999999977263</v>
      </c>
      <c r="CT35" s="12">
        <f t="shared" si="31"/>
        <v>0</v>
      </c>
      <c r="CV35" s="20">
        <f t="shared" si="51"/>
        <v>1.999999999998181E-2</v>
      </c>
      <c r="CX35">
        <f t="shared" si="32"/>
        <v>50</v>
      </c>
      <c r="CY35">
        <f t="shared" si="33"/>
        <v>-20</v>
      </c>
      <c r="CZ35">
        <f t="shared" si="34"/>
        <v>520</v>
      </c>
      <c r="DA35" s="2">
        <v>-999.24</v>
      </c>
      <c r="DB35" s="2">
        <f t="shared" si="35"/>
        <v>520.75999999999954</v>
      </c>
      <c r="DC35" s="23">
        <f t="shared" si="36"/>
        <v>-19.980000000000018</v>
      </c>
      <c r="DD35" s="6">
        <f t="shared" si="37"/>
        <v>-0.75999999999953616</v>
      </c>
      <c r="DE35" s="12">
        <f t="shared" si="38"/>
        <v>-1.999999999998181E-2</v>
      </c>
      <c r="DM35" s="2"/>
      <c r="DN35" s="2"/>
      <c r="DO35" s="6"/>
      <c r="DP35" s="12"/>
      <c r="DQ35" s="10"/>
    </row>
    <row r="36" spans="2:121" x14ac:dyDescent="0.45">
      <c r="B36">
        <f t="shared" si="52"/>
        <v>28</v>
      </c>
      <c r="C36">
        <v>20</v>
      </c>
      <c r="D36">
        <f t="shared" si="53"/>
        <v>560</v>
      </c>
      <c r="E36" s="2">
        <v>561.08000000000004</v>
      </c>
      <c r="F36" s="23">
        <f t="shared" si="54"/>
        <v>19.985000000000014</v>
      </c>
      <c r="G36" s="6">
        <f t="shared" si="39"/>
        <v>1.0800000000000409</v>
      </c>
      <c r="H36" s="12">
        <f t="shared" si="55"/>
        <v>-1.4999999999986358E-2</v>
      </c>
      <c r="J36" s="20">
        <f t="shared" si="0"/>
        <v>-2.0000000000095497E-2</v>
      </c>
      <c r="K36" s="2"/>
      <c r="L36">
        <f t="shared" si="56"/>
        <v>28</v>
      </c>
      <c r="M36">
        <v>20</v>
      </c>
      <c r="N36">
        <f t="shared" si="57"/>
        <v>560</v>
      </c>
      <c r="O36" s="2">
        <v>561.05499999999995</v>
      </c>
      <c r="P36" s="23">
        <f t="shared" si="58"/>
        <v>19.964999999999918</v>
      </c>
      <c r="Q36" s="6">
        <f t="shared" si="40"/>
        <v>1.05499999999995</v>
      </c>
      <c r="R36" s="27">
        <f t="shared" si="59"/>
        <v>-3.5000000000081855E-2</v>
      </c>
      <c r="S36" s="27"/>
      <c r="T36" s="20">
        <f t="shared" si="1"/>
        <v>0.10000000000013642</v>
      </c>
      <c r="U36" s="2"/>
      <c r="V36">
        <f t="shared" si="60"/>
        <v>28</v>
      </c>
      <c r="W36">
        <v>20</v>
      </c>
      <c r="X36">
        <f t="shared" si="61"/>
        <v>560</v>
      </c>
      <c r="Y36" s="2">
        <v>561.125</v>
      </c>
      <c r="Z36" s="23">
        <f t="shared" si="62"/>
        <v>20.065000000000055</v>
      </c>
      <c r="AA36" s="6">
        <f t="shared" si="41"/>
        <v>1.125</v>
      </c>
      <c r="AB36" s="27">
        <f t="shared" si="63"/>
        <v>6.500000000005457E-2</v>
      </c>
      <c r="AC36" s="27"/>
      <c r="AD36" s="20">
        <f t="shared" si="2"/>
        <v>-4.0000000000077307E-2</v>
      </c>
      <c r="AE36" s="2"/>
      <c r="AF36">
        <f t="shared" si="64"/>
        <v>28</v>
      </c>
      <c r="AG36">
        <v>20</v>
      </c>
      <c r="AH36">
        <f t="shared" si="65"/>
        <v>560</v>
      </c>
      <c r="AI36" s="2">
        <v>561.09500000000003</v>
      </c>
      <c r="AJ36" s="23">
        <f t="shared" si="66"/>
        <v>20.024999999999977</v>
      </c>
      <c r="AK36" s="6">
        <f t="shared" si="42"/>
        <v>1.0950000000000273</v>
      </c>
      <c r="AL36" s="27">
        <f t="shared" si="67"/>
        <v>2.4999999999977263E-2</v>
      </c>
      <c r="AM36" s="27"/>
      <c r="AN36" s="20">
        <f t="shared" si="3"/>
        <v>-4.9999999998817657E-3</v>
      </c>
      <c r="AO36" s="2"/>
      <c r="AP36">
        <f t="shared" si="68"/>
        <v>28</v>
      </c>
      <c r="AQ36">
        <v>20</v>
      </c>
      <c r="AR36">
        <f t="shared" si="69"/>
        <v>560</v>
      </c>
      <c r="AS36" s="2">
        <v>561.08000000000004</v>
      </c>
      <c r="AT36" s="23">
        <f t="shared" si="70"/>
        <v>20.020000000000095</v>
      </c>
      <c r="AU36" s="6">
        <f t="shared" si="43"/>
        <v>1.0800000000000409</v>
      </c>
      <c r="AV36" s="27">
        <f t="shared" si="71"/>
        <v>2.0000000000095497E-2</v>
      </c>
      <c r="AW36" s="27"/>
      <c r="AX36" s="27"/>
      <c r="AY36" s="2">
        <f t="shared" si="44"/>
        <v>561.08699999999999</v>
      </c>
      <c r="AZ36" s="23">
        <f t="shared" si="45"/>
        <v>20.012000000000011</v>
      </c>
      <c r="BA36" s="6">
        <f t="shared" si="46"/>
        <v>1.0870000000000117</v>
      </c>
      <c r="BB36" s="27">
        <f t="shared" si="47"/>
        <v>1.2000000000011824E-2</v>
      </c>
      <c r="BC36" s="27"/>
      <c r="BD36" s="36"/>
      <c r="BF36">
        <f t="shared" si="4"/>
        <v>49</v>
      </c>
      <c r="BG36">
        <f t="shared" si="5"/>
        <v>-20</v>
      </c>
      <c r="BH36">
        <f t="shared" si="6"/>
        <v>540</v>
      </c>
      <c r="BI36" s="2">
        <v>-979.22500000000002</v>
      </c>
      <c r="BJ36" s="2">
        <f t="shared" si="7"/>
        <v>540.77500000000032</v>
      </c>
      <c r="BK36" s="23">
        <f t="shared" si="8"/>
        <v>-20</v>
      </c>
      <c r="BL36" s="6">
        <f t="shared" si="9"/>
        <v>-0.77500000000031832</v>
      </c>
      <c r="BM36" s="12">
        <f t="shared" si="10"/>
        <v>0</v>
      </c>
      <c r="BO36" s="20">
        <f t="shared" si="48"/>
        <v>-4.9999999999954525E-3</v>
      </c>
      <c r="BQ36">
        <f t="shared" si="11"/>
        <v>49</v>
      </c>
      <c r="BR36">
        <f t="shared" si="12"/>
        <v>-20</v>
      </c>
      <c r="BS36">
        <f t="shared" si="13"/>
        <v>540</v>
      </c>
      <c r="BT36" s="2">
        <v>-979.25</v>
      </c>
      <c r="BU36" s="2">
        <f t="shared" si="14"/>
        <v>540.74999999999955</v>
      </c>
      <c r="BV36" s="23">
        <f t="shared" si="15"/>
        <v>-20.004999999999995</v>
      </c>
      <c r="BW36" s="6">
        <f t="shared" si="16"/>
        <v>-0.74999999999954525</v>
      </c>
      <c r="BX36" s="12">
        <f t="shared" si="17"/>
        <v>4.9999999999954525E-3</v>
      </c>
      <c r="BY36" s="12"/>
      <c r="BZ36" s="20">
        <f t="shared" si="49"/>
        <v>-1.4999999999986358E-2</v>
      </c>
      <c r="CB36">
        <f t="shared" si="18"/>
        <v>49</v>
      </c>
      <c r="CC36">
        <f t="shared" si="19"/>
        <v>-20</v>
      </c>
      <c r="CD36">
        <f t="shared" si="20"/>
        <v>540</v>
      </c>
      <c r="CE36" s="2">
        <v>-979.255</v>
      </c>
      <c r="CF36" s="2">
        <f t="shared" si="21"/>
        <v>540.745</v>
      </c>
      <c r="CG36" s="23">
        <f t="shared" si="22"/>
        <v>-20.019999999999982</v>
      </c>
      <c r="CH36" s="6">
        <f t="shared" si="23"/>
        <v>-0.74500000000000455</v>
      </c>
      <c r="CI36" s="12">
        <f t="shared" si="24"/>
        <v>1.999999999998181E-2</v>
      </c>
      <c r="CK36" s="20">
        <f t="shared" si="50"/>
        <v>2.4999999999977263E-2</v>
      </c>
      <c r="CM36">
        <f t="shared" si="25"/>
        <v>49</v>
      </c>
      <c r="CN36">
        <f t="shared" si="26"/>
        <v>-20</v>
      </c>
      <c r="CO36">
        <f t="shared" si="27"/>
        <v>540</v>
      </c>
      <c r="CP36" s="2">
        <v>-979.25</v>
      </c>
      <c r="CQ36" s="2">
        <f t="shared" si="28"/>
        <v>540.74999999999977</v>
      </c>
      <c r="CR36" s="23">
        <f t="shared" si="29"/>
        <v>-19.995000000000005</v>
      </c>
      <c r="CS36" s="6">
        <f t="shared" si="30"/>
        <v>-0.74999999999977263</v>
      </c>
      <c r="CT36" s="12">
        <f t="shared" si="31"/>
        <v>-4.9999999999954525E-3</v>
      </c>
      <c r="CV36" s="20">
        <f t="shared" si="51"/>
        <v>0</v>
      </c>
      <c r="CX36">
        <f t="shared" si="32"/>
        <v>49</v>
      </c>
      <c r="CY36">
        <f t="shared" si="33"/>
        <v>-20</v>
      </c>
      <c r="CZ36">
        <f t="shared" si="34"/>
        <v>540</v>
      </c>
      <c r="DA36" s="2">
        <v>-979.26</v>
      </c>
      <c r="DB36" s="2">
        <f t="shared" si="35"/>
        <v>540.73999999999955</v>
      </c>
      <c r="DC36" s="23">
        <f t="shared" si="36"/>
        <v>-19.995000000000005</v>
      </c>
      <c r="DD36" s="6">
        <f t="shared" si="37"/>
        <v>-0.73999999999955435</v>
      </c>
      <c r="DE36" s="12">
        <f t="shared" si="38"/>
        <v>-4.9999999999954525E-3</v>
      </c>
      <c r="DM36" s="2"/>
      <c r="DN36" s="2"/>
      <c r="DO36" s="6"/>
      <c r="DP36" s="12"/>
      <c r="DQ36" s="10"/>
    </row>
    <row r="37" spans="2:121" x14ac:dyDescent="0.45">
      <c r="B37">
        <f t="shared" si="52"/>
        <v>29</v>
      </c>
      <c r="C37">
        <v>20</v>
      </c>
      <c r="D37">
        <f t="shared" si="53"/>
        <v>580</v>
      </c>
      <c r="E37" s="2">
        <v>581.07500000000005</v>
      </c>
      <c r="F37" s="23">
        <f t="shared" si="54"/>
        <v>19.995000000000005</v>
      </c>
      <c r="G37" s="6">
        <f t="shared" si="39"/>
        <v>1.0750000000000455</v>
      </c>
      <c r="H37" s="12">
        <f t="shared" si="55"/>
        <v>-4.9999999999954525E-3</v>
      </c>
      <c r="J37" s="20">
        <f t="shared" si="0"/>
        <v>-4.4999999999959073E-2</v>
      </c>
      <c r="K37" s="2"/>
      <c r="L37">
        <f t="shared" si="56"/>
        <v>29</v>
      </c>
      <c r="M37">
        <v>20</v>
      </c>
      <c r="N37">
        <f t="shared" si="57"/>
        <v>580</v>
      </c>
      <c r="O37" s="2">
        <v>581.005</v>
      </c>
      <c r="P37" s="23">
        <f t="shared" si="58"/>
        <v>19.950000000000045</v>
      </c>
      <c r="Q37" s="6">
        <f t="shared" si="40"/>
        <v>1.0049999999999955</v>
      </c>
      <c r="R37" s="27">
        <f t="shared" si="59"/>
        <v>-4.9999999999954525E-2</v>
      </c>
      <c r="S37" s="27"/>
      <c r="T37" s="20">
        <f t="shared" si="1"/>
        <v>-4.500000000007276E-2</v>
      </c>
      <c r="U37" s="2"/>
      <c r="V37">
        <f t="shared" si="60"/>
        <v>29</v>
      </c>
      <c r="W37">
        <v>20</v>
      </c>
      <c r="X37">
        <f t="shared" si="61"/>
        <v>580</v>
      </c>
      <c r="Y37" s="2">
        <v>581.03</v>
      </c>
      <c r="Z37" s="23">
        <f t="shared" si="62"/>
        <v>19.904999999999973</v>
      </c>
      <c r="AA37" s="6">
        <f t="shared" si="41"/>
        <v>1.0299999999999727</v>
      </c>
      <c r="AB37" s="27">
        <f t="shared" si="63"/>
        <v>-9.5000000000027285E-2</v>
      </c>
      <c r="AC37" s="27"/>
      <c r="AD37" s="20">
        <f t="shared" si="2"/>
        <v>7.0000000000050022E-2</v>
      </c>
      <c r="AE37" s="2"/>
      <c r="AF37">
        <f t="shared" si="64"/>
        <v>29</v>
      </c>
      <c r="AG37">
        <v>20</v>
      </c>
      <c r="AH37">
        <f t="shared" si="65"/>
        <v>580</v>
      </c>
      <c r="AI37" s="2">
        <v>581.07000000000005</v>
      </c>
      <c r="AJ37" s="23">
        <f t="shared" si="66"/>
        <v>19.975000000000023</v>
      </c>
      <c r="AK37" s="6">
        <f t="shared" si="42"/>
        <v>1.07000000000005</v>
      </c>
      <c r="AL37" s="27">
        <f t="shared" si="67"/>
        <v>-2.4999999999977263E-2</v>
      </c>
      <c r="AM37" s="27"/>
      <c r="AN37" s="20">
        <f t="shared" si="3"/>
        <v>-5.0000000001091394E-3</v>
      </c>
      <c r="AO37" s="2"/>
      <c r="AP37">
        <f t="shared" si="68"/>
        <v>29</v>
      </c>
      <c r="AQ37">
        <v>20</v>
      </c>
      <c r="AR37">
        <f t="shared" si="69"/>
        <v>580</v>
      </c>
      <c r="AS37" s="2">
        <v>581.04999999999995</v>
      </c>
      <c r="AT37" s="23">
        <f t="shared" si="70"/>
        <v>19.969999999999914</v>
      </c>
      <c r="AU37" s="6">
        <f t="shared" si="43"/>
        <v>1.0499999999999545</v>
      </c>
      <c r="AV37" s="27">
        <f t="shared" si="71"/>
        <v>-3.0000000000086402E-2</v>
      </c>
      <c r="AW37" s="27"/>
      <c r="AX37" s="27"/>
      <c r="AY37" s="2">
        <f t="shared" si="44"/>
        <v>581.04599999999994</v>
      </c>
      <c r="AZ37" s="23">
        <f t="shared" si="45"/>
        <v>19.958999999999993</v>
      </c>
      <c r="BA37" s="6">
        <f t="shared" si="46"/>
        <v>1.0460000000000036</v>
      </c>
      <c r="BB37" s="27">
        <f t="shared" si="47"/>
        <v>-4.1000000000008183E-2</v>
      </c>
      <c r="BC37" s="27"/>
      <c r="BD37" s="36"/>
      <c r="BF37">
        <f t="shared" si="4"/>
        <v>48</v>
      </c>
      <c r="BG37">
        <f t="shared" si="5"/>
        <v>-20</v>
      </c>
      <c r="BH37">
        <f t="shared" si="6"/>
        <v>560</v>
      </c>
      <c r="BI37" s="2">
        <v>-959.22500000000002</v>
      </c>
      <c r="BJ37" s="2">
        <f t="shared" si="7"/>
        <v>560.77500000000032</v>
      </c>
      <c r="BK37" s="23">
        <f t="shared" si="8"/>
        <v>-19.995000000000005</v>
      </c>
      <c r="BL37" s="6">
        <f t="shared" si="9"/>
        <v>-0.77500000000031832</v>
      </c>
      <c r="BM37" s="12">
        <f t="shared" si="10"/>
        <v>-4.9999999999954525E-3</v>
      </c>
      <c r="BO37" s="20">
        <f t="shared" si="48"/>
        <v>1.4999999999986358E-2</v>
      </c>
      <c r="BQ37">
        <f t="shared" si="11"/>
        <v>48</v>
      </c>
      <c r="BR37">
        <f t="shared" si="12"/>
        <v>-20</v>
      </c>
      <c r="BS37">
        <f t="shared" si="13"/>
        <v>560</v>
      </c>
      <c r="BT37" s="2">
        <v>-959.245</v>
      </c>
      <c r="BU37" s="2">
        <f t="shared" si="14"/>
        <v>560.75499999999954</v>
      </c>
      <c r="BV37" s="23">
        <f t="shared" si="15"/>
        <v>-19.980000000000018</v>
      </c>
      <c r="BW37" s="6">
        <f t="shared" si="16"/>
        <v>-0.75499999999954071</v>
      </c>
      <c r="BX37" s="12">
        <f t="shared" si="17"/>
        <v>-1.999999999998181E-2</v>
      </c>
      <c r="BY37" s="12"/>
      <c r="BZ37" s="20">
        <f t="shared" si="49"/>
        <v>2.4999999999977263E-2</v>
      </c>
      <c r="CB37">
        <f t="shared" si="18"/>
        <v>48</v>
      </c>
      <c r="CC37">
        <f t="shared" si="19"/>
        <v>-20</v>
      </c>
      <c r="CD37">
        <f t="shared" si="20"/>
        <v>560</v>
      </c>
      <c r="CE37" s="2">
        <v>-959.23500000000001</v>
      </c>
      <c r="CF37" s="2">
        <f t="shared" si="21"/>
        <v>560.76499999999999</v>
      </c>
      <c r="CG37" s="23">
        <f t="shared" si="22"/>
        <v>-19.955000000000041</v>
      </c>
      <c r="CH37" s="6">
        <f t="shared" si="23"/>
        <v>-0.76499999999998636</v>
      </c>
      <c r="CI37" s="12">
        <f t="shared" si="24"/>
        <v>-4.4999999999959073E-2</v>
      </c>
      <c r="CK37" s="20">
        <f t="shared" si="50"/>
        <v>-4.9999999999954525E-2</v>
      </c>
      <c r="CM37">
        <f t="shared" si="25"/>
        <v>48</v>
      </c>
      <c r="CN37">
        <f t="shared" si="26"/>
        <v>-20</v>
      </c>
      <c r="CO37">
        <f t="shared" si="27"/>
        <v>560</v>
      </c>
      <c r="CP37" s="2">
        <v>-959.255</v>
      </c>
      <c r="CQ37" s="2">
        <f t="shared" si="28"/>
        <v>560.74499999999978</v>
      </c>
      <c r="CR37" s="23">
        <f t="shared" si="29"/>
        <v>-20.004999999999995</v>
      </c>
      <c r="CS37" s="6">
        <f t="shared" si="30"/>
        <v>-0.74499999999977717</v>
      </c>
      <c r="CT37" s="12">
        <f t="shared" si="31"/>
        <v>4.9999999999954525E-3</v>
      </c>
      <c r="CV37" s="20">
        <f t="shared" si="51"/>
        <v>-4.9999999999954525E-3</v>
      </c>
      <c r="CX37">
        <f t="shared" si="32"/>
        <v>48</v>
      </c>
      <c r="CY37">
        <f t="shared" si="33"/>
        <v>-20</v>
      </c>
      <c r="CZ37">
        <f t="shared" si="34"/>
        <v>560</v>
      </c>
      <c r="DA37" s="2">
        <v>-959.26499999999999</v>
      </c>
      <c r="DB37" s="2">
        <f t="shared" si="35"/>
        <v>560.73499999999956</v>
      </c>
      <c r="DC37" s="23">
        <f t="shared" si="36"/>
        <v>-20.009999999999991</v>
      </c>
      <c r="DD37" s="6">
        <f t="shared" si="37"/>
        <v>-0.7349999999995589</v>
      </c>
      <c r="DE37" s="12">
        <f t="shared" si="38"/>
        <v>9.9999999999909051E-3</v>
      </c>
      <c r="DM37" s="2"/>
      <c r="DN37" s="2"/>
      <c r="DO37" s="6"/>
      <c r="DP37" s="12"/>
      <c r="DQ37" s="10"/>
    </row>
    <row r="38" spans="2:121" x14ac:dyDescent="0.45">
      <c r="B38">
        <f t="shared" si="52"/>
        <v>30</v>
      </c>
      <c r="C38">
        <v>20</v>
      </c>
      <c r="D38">
        <f t="shared" si="53"/>
        <v>600</v>
      </c>
      <c r="E38" s="19">
        <v>601.04</v>
      </c>
      <c r="F38" s="23">
        <f t="shared" si="54"/>
        <v>19.964999999999918</v>
      </c>
      <c r="G38" s="6">
        <f t="shared" si="39"/>
        <v>1.0399999999999636</v>
      </c>
      <c r="H38" s="12">
        <f t="shared" si="55"/>
        <v>-3.5000000000081855E-2</v>
      </c>
      <c r="J38" s="20">
        <f t="shared" si="0"/>
        <v>2.0000000000095497E-2</v>
      </c>
      <c r="K38" s="2"/>
      <c r="L38">
        <f t="shared" si="56"/>
        <v>30</v>
      </c>
      <c r="M38">
        <v>20</v>
      </c>
      <c r="N38">
        <f t="shared" si="57"/>
        <v>600</v>
      </c>
      <c r="O38" s="19">
        <v>600.99</v>
      </c>
      <c r="P38" s="23">
        <f t="shared" si="58"/>
        <v>19.985000000000014</v>
      </c>
      <c r="Q38" s="6">
        <f t="shared" si="40"/>
        <v>0.99000000000000909</v>
      </c>
      <c r="R38" s="27">
        <f t="shared" si="59"/>
        <v>-1.4999999999986358E-2</v>
      </c>
      <c r="S38" s="27"/>
      <c r="T38" s="20">
        <f t="shared" si="1"/>
        <v>2.9999999999972715E-2</v>
      </c>
      <c r="U38" s="2"/>
      <c r="V38">
        <f t="shared" si="60"/>
        <v>30</v>
      </c>
      <c r="W38">
        <v>20</v>
      </c>
      <c r="X38">
        <f t="shared" si="61"/>
        <v>600</v>
      </c>
      <c r="Y38" s="19">
        <v>601.04499999999996</v>
      </c>
      <c r="Z38" s="23">
        <f t="shared" si="62"/>
        <v>20.014999999999986</v>
      </c>
      <c r="AA38" s="6">
        <f t="shared" si="41"/>
        <v>1.0449999999999591</v>
      </c>
      <c r="AB38" s="27">
        <f t="shared" si="63"/>
        <v>1.4999999999986358E-2</v>
      </c>
      <c r="AC38" s="27"/>
      <c r="AD38" s="20">
        <f t="shared" si="2"/>
        <v>-7.0000000000050022E-2</v>
      </c>
      <c r="AE38" s="2"/>
      <c r="AF38">
        <f t="shared" si="64"/>
        <v>30</v>
      </c>
      <c r="AG38">
        <v>20</v>
      </c>
      <c r="AH38">
        <f t="shared" si="65"/>
        <v>600</v>
      </c>
      <c r="AI38" s="19">
        <v>601.01499999999999</v>
      </c>
      <c r="AJ38" s="23">
        <f t="shared" si="66"/>
        <v>19.944999999999936</v>
      </c>
      <c r="AK38" s="6">
        <f t="shared" si="42"/>
        <v>1.0149999999999864</v>
      </c>
      <c r="AL38" s="27">
        <f t="shared" si="67"/>
        <v>-5.5000000000063665E-2</v>
      </c>
      <c r="AM38" s="27"/>
      <c r="AN38" s="20">
        <f t="shared" si="3"/>
        <v>-4.9999999998817657E-3</v>
      </c>
      <c r="AO38" s="2"/>
      <c r="AP38">
        <f t="shared" si="68"/>
        <v>30</v>
      </c>
      <c r="AQ38">
        <v>20</v>
      </c>
      <c r="AR38">
        <f t="shared" si="69"/>
        <v>600</v>
      </c>
      <c r="AS38" s="19">
        <v>600.99</v>
      </c>
      <c r="AT38" s="23">
        <f t="shared" si="70"/>
        <v>19.940000000000055</v>
      </c>
      <c r="AU38" s="6">
        <f t="shared" si="43"/>
        <v>0.99000000000000909</v>
      </c>
      <c r="AV38" s="27">
        <f t="shared" si="71"/>
        <v>-5.999999999994543E-2</v>
      </c>
      <c r="AW38" s="27"/>
      <c r="AX38" s="27"/>
      <c r="AY38" s="2">
        <f t="shared" si="44"/>
        <v>601.01599999999996</v>
      </c>
      <c r="AZ38" s="23">
        <f t="shared" si="45"/>
        <v>19.969999999999981</v>
      </c>
      <c r="BA38" s="6">
        <f t="shared" si="46"/>
        <v>1.0159999999999854</v>
      </c>
      <c r="BB38" s="27">
        <f t="shared" si="47"/>
        <v>-3.0000000000018189E-2</v>
      </c>
      <c r="BC38" s="27"/>
      <c r="BD38" s="36"/>
      <c r="BF38">
        <f t="shared" si="4"/>
        <v>47</v>
      </c>
      <c r="BG38">
        <f t="shared" si="5"/>
        <v>-20</v>
      </c>
      <c r="BH38">
        <f t="shared" si="6"/>
        <v>580</v>
      </c>
      <c r="BI38" s="19">
        <v>-939.23</v>
      </c>
      <c r="BJ38" s="2">
        <f t="shared" si="7"/>
        <v>580.77000000000032</v>
      </c>
      <c r="BK38" s="23">
        <f t="shared" si="8"/>
        <v>-19.995000000000005</v>
      </c>
      <c r="BL38" s="6">
        <f t="shared" si="9"/>
        <v>-0.77000000000032287</v>
      </c>
      <c r="BM38" s="12">
        <f t="shared" si="10"/>
        <v>-4.9999999999954525E-3</v>
      </c>
      <c r="BO38" s="20">
        <f t="shared" si="48"/>
        <v>4.9999999999954525E-3</v>
      </c>
      <c r="BQ38">
        <f t="shared" si="11"/>
        <v>47</v>
      </c>
      <c r="BR38">
        <f t="shared" si="12"/>
        <v>-20</v>
      </c>
      <c r="BS38">
        <f t="shared" si="13"/>
        <v>580</v>
      </c>
      <c r="BT38" s="19">
        <v>-939.26499999999999</v>
      </c>
      <c r="BU38" s="2">
        <f t="shared" si="14"/>
        <v>580.73499999999956</v>
      </c>
      <c r="BV38" s="23">
        <f t="shared" si="15"/>
        <v>-19.990000000000009</v>
      </c>
      <c r="BW38" s="6">
        <f t="shared" si="16"/>
        <v>-0.7349999999995589</v>
      </c>
      <c r="BX38" s="12">
        <f t="shared" si="17"/>
        <v>-9.9999999999909051E-3</v>
      </c>
      <c r="BY38" s="12"/>
      <c r="BZ38" s="20">
        <f t="shared" si="49"/>
        <v>4.9999999999954525E-3</v>
      </c>
      <c r="CB38">
        <f t="shared" si="18"/>
        <v>47</v>
      </c>
      <c r="CC38">
        <f t="shared" si="19"/>
        <v>-20</v>
      </c>
      <c r="CD38">
        <f t="shared" si="20"/>
        <v>580</v>
      </c>
      <c r="CE38" s="19">
        <v>-939.28</v>
      </c>
      <c r="CF38" s="2">
        <f t="shared" si="21"/>
        <v>580.72</v>
      </c>
      <c r="CG38" s="23">
        <f t="shared" si="22"/>
        <v>-19.985000000000014</v>
      </c>
      <c r="CH38" s="6">
        <f t="shared" si="23"/>
        <v>-0.72000000000002728</v>
      </c>
      <c r="CI38" s="12">
        <f t="shared" si="24"/>
        <v>-1.4999999999986358E-2</v>
      </c>
      <c r="CK38" s="20">
        <f t="shared" si="50"/>
        <v>2.4999999999977263E-2</v>
      </c>
      <c r="CM38">
        <f t="shared" si="25"/>
        <v>47</v>
      </c>
      <c r="CN38">
        <f t="shared" si="26"/>
        <v>-20</v>
      </c>
      <c r="CO38">
        <f t="shared" si="27"/>
        <v>580</v>
      </c>
      <c r="CP38" s="19">
        <v>-939.25</v>
      </c>
      <c r="CQ38" s="2">
        <f t="shared" si="28"/>
        <v>580.74999999999977</v>
      </c>
      <c r="CR38" s="23">
        <f t="shared" si="29"/>
        <v>-19.960000000000036</v>
      </c>
      <c r="CS38" s="6">
        <f t="shared" si="30"/>
        <v>-0.74999999999977263</v>
      </c>
      <c r="CT38" s="12">
        <f t="shared" si="31"/>
        <v>-3.999999999996362E-2</v>
      </c>
      <c r="CV38" s="20">
        <f t="shared" si="51"/>
        <v>9.9999999999909051E-3</v>
      </c>
      <c r="CX38">
        <f t="shared" si="32"/>
        <v>47</v>
      </c>
      <c r="CY38">
        <f t="shared" si="33"/>
        <v>-20</v>
      </c>
      <c r="CZ38">
        <f t="shared" si="34"/>
        <v>580</v>
      </c>
      <c r="DA38" s="19">
        <v>-939.255</v>
      </c>
      <c r="DB38" s="2">
        <f t="shared" si="35"/>
        <v>580.74499999999955</v>
      </c>
      <c r="DC38" s="23">
        <f t="shared" si="36"/>
        <v>-19.950000000000045</v>
      </c>
      <c r="DD38" s="6">
        <f t="shared" si="37"/>
        <v>-0.7449999999995498</v>
      </c>
      <c r="DE38" s="12">
        <f t="shared" si="38"/>
        <v>-4.9999999999954525E-2</v>
      </c>
      <c r="DM38" s="2"/>
      <c r="DN38" s="2"/>
      <c r="DO38" s="6"/>
      <c r="DP38" s="12"/>
      <c r="DQ38" s="10"/>
    </row>
    <row r="39" spans="2:121" x14ac:dyDescent="0.45">
      <c r="B39">
        <f t="shared" si="52"/>
        <v>31</v>
      </c>
      <c r="C39">
        <v>20</v>
      </c>
      <c r="D39">
        <f t="shared" si="53"/>
        <v>620</v>
      </c>
      <c r="E39" s="19">
        <v>620.91999999999996</v>
      </c>
      <c r="F39" s="23">
        <f t="shared" si="54"/>
        <v>19.879999999999995</v>
      </c>
      <c r="G39" s="6">
        <f t="shared" si="39"/>
        <v>0.91999999999995907</v>
      </c>
      <c r="H39" s="12">
        <f t="shared" si="55"/>
        <v>-0.12000000000000455</v>
      </c>
      <c r="J39" s="20">
        <f t="shared" si="0"/>
        <v>-2.4999999999977263E-2</v>
      </c>
      <c r="K39" s="2"/>
      <c r="L39">
        <f t="shared" si="56"/>
        <v>31</v>
      </c>
      <c r="M39">
        <v>20</v>
      </c>
      <c r="N39">
        <f t="shared" si="57"/>
        <v>620</v>
      </c>
      <c r="O39" s="19">
        <v>620.84500000000003</v>
      </c>
      <c r="P39" s="23">
        <f t="shared" si="58"/>
        <v>19.855000000000018</v>
      </c>
      <c r="Q39" s="6">
        <f t="shared" si="40"/>
        <v>0.84500000000002728</v>
      </c>
      <c r="R39" s="27">
        <f t="shared" si="59"/>
        <v>-0.14499999999998181</v>
      </c>
      <c r="S39" s="27"/>
      <c r="T39" s="20">
        <f t="shared" si="1"/>
        <v>-3.4999999999968168E-2</v>
      </c>
      <c r="U39" s="2"/>
      <c r="V39">
        <f t="shared" si="60"/>
        <v>31</v>
      </c>
      <c r="W39">
        <v>20</v>
      </c>
      <c r="X39">
        <f t="shared" si="61"/>
        <v>620</v>
      </c>
      <c r="Y39" s="19">
        <v>620.86500000000001</v>
      </c>
      <c r="Z39" s="23">
        <f t="shared" si="62"/>
        <v>19.82000000000005</v>
      </c>
      <c r="AA39" s="6">
        <f t="shared" si="41"/>
        <v>0.86500000000000909</v>
      </c>
      <c r="AB39" s="27">
        <f t="shared" si="63"/>
        <v>-0.17999999999994998</v>
      </c>
      <c r="AC39" s="27"/>
      <c r="AD39" s="20">
        <f t="shared" si="2"/>
        <v>5.4999999999949978E-2</v>
      </c>
      <c r="AE39" s="2"/>
      <c r="AF39">
        <f t="shared" si="64"/>
        <v>31</v>
      </c>
      <c r="AG39">
        <v>20</v>
      </c>
      <c r="AH39">
        <f t="shared" si="65"/>
        <v>620</v>
      </c>
      <c r="AI39" s="19">
        <v>620.89</v>
      </c>
      <c r="AJ39" s="23">
        <f t="shared" si="66"/>
        <v>19.875</v>
      </c>
      <c r="AK39" s="6">
        <f t="shared" si="42"/>
        <v>0.88999999999998636</v>
      </c>
      <c r="AL39" s="27">
        <f t="shared" si="67"/>
        <v>-0.125</v>
      </c>
      <c r="AM39" s="27"/>
      <c r="AN39" s="20">
        <f t="shared" si="3"/>
        <v>1.4999999999986358E-2</v>
      </c>
      <c r="AO39" s="2"/>
      <c r="AP39">
        <f t="shared" si="68"/>
        <v>31</v>
      </c>
      <c r="AQ39">
        <v>20</v>
      </c>
      <c r="AR39">
        <f t="shared" si="69"/>
        <v>620</v>
      </c>
      <c r="AS39" s="19">
        <v>620.88</v>
      </c>
      <c r="AT39" s="23">
        <f t="shared" si="70"/>
        <v>19.889999999999986</v>
      </c>
      <c r="AU39" s="6">
        <f t="shared" si="43"/>
        <v>0.87999999999999545</v>
      </c>
      <c r="AV39" s="27">
        <f t="shared" si="71"/>
        <v>-0.11000000000001364</v>
      </c>
      <c r="AW39" s="27"/>
      <c r="AX39" s="27"/>
      <c r="AY39" s="2">
        <f t="shared" si="44"/>
        <v>620.88</v>
      </c>
      <c r="AZ39" s="23">
        <f t="shared" si="45"/>
        <v>19.864000000000011</v>
      </c>
      <c r="BA39" s="6">
        <f t="shared" si="46"/>
        <v>0.87999999999999545</v>
      </c>
      <c r="BB39" s="27">
        <f t="shared" si="47"/>
        <v>-0.13599999999998999</v>
      </c>
      <c r="BC39" s="27"/>
      <c r="BD39" s="36"/>
      <c r="BF39">
        <f t="shared" si="4"/>
        <v>46</v>
      </c>
      <c r="BG39">
        <f t="shared" si="5"/>
        <v>-20</v>
      </c>
      <c r="BH39">
        <f t="shared" si="6"/>
        <v>600</v>
      </c>
      <c r="BI39" s="19">
        <v>-919.23500000000001</v>
      </c>
      <c r="BJ39" s="2">
        <f t="shared" si="7"/>
        <v>600.76500000000033</v>
      </c>
      <c r="BK39" s="23">
        <f t="shared" si="8"/>
        <v>-19.884999999999991</v>
      </c>
      <c r="BL39" s="6">
        <f t="shared" si="9"/>
        <v>-0.76500000000032742</v>
      </c>
      <c r="BM39" s="12">
        <f t="shared" si="10"/>
        <v>-0.11500000000000909</v>
      </c>
      <c r="BO39" s="20">
        <f t="shared" si="48"/>
        <v>-9.9999999999909051E-3</v>
      </c>
      <c r="BQ39">
        <f t="shared" si="11"/>
        <v>46</v>
      </c>
      <c r="BR39">
        <f t="shared" si="12"/>
        <v>-20</v>
      </c>
      <c r="BS39">
        <f t="shared" si="13"/>
        <v>600</v>
      </c>
      <c r="BT39" s="19">
        <v>-919.27499999999998</v>
      </c>
      <c r="BU39" s="2">
        <f t="shared" si="14"/>
        <v>600.72499999999957</v>
      </c>
      <c r="BV39" s="23">
        <f t="shared" si="15"/>
        <v>-19.894999999999982</v>
      </c>
      <c r="BW39" s="6">
        <f t="shared" si="16"/>
        <v>-0.72499999999956799</v>
      </c>
      <c r="BX39" s="12">
        <f t="shared" si="17"/>
        <v>-0.10500000000001819</v>
      </c>
      <c r="BY39" s="12"/>
      <c r="BZ39" s="20">
        <f t="shared" si="49"/>
        <v>-2.4999999999977263E-2</v>
      </c>
      <c r="CB39">
        <f t="shared" si="18"/>
        <v>46</v>
      </c>
      <c r="CC39">
        <f t="shared" si="19"/>
        <v>-20</v>
      </c>
      <c r="CD39">
        <f t="shared" si="20"/>
        <v>600</v>
      </c>
      <c r="CE39" s="19">
        <v>-919.29499999999996</v>
      </c>
      <c r="CF39" s="2">
        <f t="shared" si="21"/>
        <v>600.70500000000004</v>
      </c>
      <c r="CG39" s="23">
        <f t="shared" si="22"/>
        <v>-19.919999999999959</v>
      </c>
      <c r="CH39" s="6">
        <f t="shared" si="23"/>
        <v>-0.70500000000004093</v>
      </c>
      <c r="CI39" s="12">
        <f t="shared" si="24"/>
        <v>-8.0000000000040927E-2</v>
      </c>
      <c r="CK39" s="20">
        <f t="shared" si="50"/>
        <v>0</v>
      </c>
      <c r="CM39">
        <f t="shared" si="25"/>
        <v>46</v>
      </c>
      <c r="CN39">
        <f t="shared" si="26"/>
        <v>-20</v>
      </c>
      <c r="CO39">
        <f t="shared" si="27"/>
        <v>600</v>
      </c>
      <c r="CP39" s="19">
        <v>-919.29</v>
      </c>
      <c r="CQ39" s="2">
        <f t="shared" si="28"/>
        <v>600.70999999999981</v>
      </c>
      <c r="CR39" s="23">
        <f t="shared" si="29"/>
        <v>-19.919999999999959</v>
      </c>
      <c r="CS39" s="6">
        <f t="shared" si="30"/>
        <v>-0.70999999999980901</v>
      </c>
      <c r="CT39" s="12">
        <f t="shared" si="31"/>
        <v>-8.0000000000040927E-2</v>
      </c>
      <c r="CV39" s="20">
        <f t="shared" si="51"/>
        <v>-9.9999999999909051E-3</v>
      </c>
      <c r="CX39">
        <f t="shared" si="32"/>
        <v>46</v>
      </c>
      <c r="CY39">
        <f t="shared" si="33"/>
        <v>-20</v>
      </c>
      <c r="CZ39">
        <f t="shared" si="34"/>
        <v>600</v>
      </c>
      <c r="DA39" s="19">
        <v>-919.30499999999995</v>
      </c>
      <c r="DB39" s="2">
        <f t="shared" si="35"/>
        <v>600.6949999999996</v>
      </c>
      <c r="DC39" s="23">
        <f t="shared" si="36"/>
        <v>-19.92999999999995</v>
      </c>
      <c r="DD39" s="6">
        <f t="shared" si="37"/>
        <v>-0.69499999999959527</v>
      </c>
      <c r="DE39" s="12">
        <f t="shared" si="38"/>
        <v>-7.0000000000050022E-2</v>
      </c>
      <c r="DM39" s="2"/>
      <c r="DN39" s="2"/>
      <c r="DO39" s="6"/>
      <c r="DP39" s="12"/>
      <c r="DQ39" s="10"/>
    </row>
    <row r="40" spans="2:121" x14ac:dyDescent="0.45">
      <c r="B40">
        <f t="shared" si="52"/>
        <v>32</v>
      </c>
      <c r="C40">
        <v>20</v>
      </c>
      <c r="D40">
        <f t="shared" si="53"/>
        <v>640</v>
      </c>
      <c r="E40" s="19">
        <v>640.84</v>
      </c>
      <c r="F40" s="23">
        <f t="shared" si="54"/>
        <v>19.920000000000073</v>
      </c>
      <c r="G40" s="6">
        <f t="shared" si="39"/>
        <v>0.84000000000003183</v>
      </c>
      <c r="H40" s="12">
        <f t="shared" si="55"/>
        <v>-7.999999999992724E-2</v>
      </c>
      <c r="J40" s="20">
        <f t="shared" si="0"/>
        <v>5.999999999994543E-2</v>
      </c>
      <c r="K40" s="2"/>
      <c r="L40">
        <f t="shared" si="56"/>
        <v>32</v>
      </c>
      <c r="M40">
        <v>20</v>
      </c>
      <c r="N40">
        <f t="shared" si="57"/>
        <v>640</v>
      </c>
      <c r="O40" s="19">
        <v>640.82500000000005</v>
      </c>
      <c r="P40" s="23">
        <f t="shared" si="58"/>
        <v>19.980000000000018</v>
      </c>
      <c r="Q40" s="6">
        <f t="shared" si="40"/>
        <v>0.82500000000004547</v>
      </c>
      <c r="R40" s="27">
        <f t="shared" si="59"/>
        <v>-1.999999999998181E-2</v>
      </c>
      <c r="S40" s="27"/>
      <c r="T40" s="20">
        <f t="shared" si="1"/>
        <v>-4.500000000007276E-2</v>
      </c>
      <c r="U40" s="2"/>
      <c r="V40">
        <f t="shared" si="60"/>
        <v>32</v>
      </c>
      <c r="W40">
        <v>20</v>
      </c>
      <c r="X40">
        <f t="shared" si="61"/>
        <v>640</v>
      </c>
      <c r="Y40" s="19">
        <v>640.79999999999995</v>
      </c>
      <c r="Z40" s="23">
        <f t="shared" si="62"/>
        <v>19.934999999999945</v>
      </c>
      <c r="AA40" s="6">
        <f t="shared" si="41"/>
        <v>0.79999999999995453</v>
      </c>
      <c r="AB40" s="27">
        <f t="shared" si="63"/>
        <v>-6.500000000005457E-2</v>
      </c>
      <c r="AC40" s="27"/>
      <c r="AD40" s="20">
        <f t="shared" si="2"/>
        <v>-4.4999999999959073E-2</v>
      </c>
      <c r="AE40" s="2"/>
      <c r="AF40">
        <f t="shared" si="64"/>
        <v>32</v>
      </c>
      <c r="AG40">
        <v>20</v>
      </c>
      <c r="AH40">
        <f t="shared" si="65"/>
        <v>640</v>
      </c>
      <c r="AI40" s="19">
        <v>640.78</v>
      </c>
      <c r="AJ40" s="23">
        <f t="shared" si="66"/>
        <v>19.889999999999986</v>
      </c>
      <c r="AK40" s="6">
        <f t="shared" si="42"/>
        <v>0.77999999999997272</v>
      </c>
      <c r="AL40" s="27">
        <f t="shared" si="67"/>
        <v>-0.11000000000001364</v>
      </c>
      <c r="AM40" s="27"/>
      <c r="AN40" s="20">
        <f t="shared" si="3"/>
        <v>-1.4999999999986358E-2</v>
      </c>
      <c r="AO40" s="2"/>
      <c r="AP40">
        <f t="shared" si="68"/>
        <v>32</v>
      </c>
      <c r="AQ40">
        <v>20</v>
      </c>
      <c r="AR40">
        <f t="shared" si="69"/>
        <v>640</v>
      </c>
      <c r="AS40" s="19">
        <v>640.755</v>
      </c>
      <c r="AT40" s="23">
        <f t="shared" si="70"/>
        <v>19.875</v>
      </c>
      <c r="AU40" s="6">
        <f t="shared" si="43"/>
        <v>0.75499999999999545</v>
      </c>
      <c r="AV40" s="27">
        <f t="shared" si="71"/>
        <v>-0.125</v>
      </c>
      <c r="AW40" s="27"/>
      <c r="AX40" s="27"/>
      <c r="AY40" s="2">
        <f t="shared" si="44"/>
        <v>640.79999999999995</v>
      </c>
      <c r="AZ40" s="23">
        <f t="shared" si="45"/>
        <v>19.920000000000005</v>
      </c>
      <c r="BA40" s="6">
        <f t="shared" si="46"/>
        <v>0.8</v>
      </c>
      <c r="BB40" s="27">
        <f t="shared" si="47"/>
        <v>-7.999999999999545E-2</v>
      </c>
      <c r="BC40" s="27"/>
      <c r="BD40" s="36"/>
      <c r="BF40">
        <f t="shared" si="4"/>
        <v>45</v>
      </c>
      <c r="BG40">
        <f t="shared" si="5"/>
        <v>-20</v>
      </c>
      <c r="BH40">
        <f t="shared" si="6"/>
        <v>620</v>
      </c>
      <c r="BI40" s="19">
        <v>-899.35</v>
      </c>
      <c r="BJ40" s="2">
        <f t="shared" si="7"/>
        <v>620.65000000000032</v>
      </c>
      <c r="BK40" s="23">
        <f t="shared" si="8"/>
        <v>-19.865000000000009</v>
      </c>
      <c r="BL40" s="6">
        <f t="shared" si="9"/>
        <v>-0.65000000000031832</v>
      </c>
      <c r="BM40" s="12">
        <f t="shared" si="10"/>
        <v>-0.13499999999999091</v>
      </c>
      <c r="BO40" s="20">
        <f t="shared" si="48"/>
        <v>-9.9999999999909051E-3</v>
      </c>
      <c r="BQ40">
        <f t="shared" si="11"/>
        <v>45</v>
      </c>
      <c r="BR40">
        <f t="shared" si="12"/>
        <v>-20</v>
      </c>
      <c r="BS40">
        <f t="shared" si="13"/>
        <v>620</v>
      </c>
      <c r="BT40" s="19">
        <v>-899.38</v>
      </c>
      <c r="BU40" s="2">
        <f t="shared" si="14"/>
        <v>620.61999999999955</v>
      </c>
      <c r="BV40" s="23">
        <f t="shared" si="15"/>
        <v>-19.875</v>
      </c>
      <c r="BW40" s="6">
        <f t="shared" si="16"/>
        <v>-0.6199999999995498</v>
      </c>
      <c r="BX40" s="12">
        <f t="shared" si="17"/>
        <v>-0.125</v>
      </c>
      <c r="BY40" s="12"/>
      <c r="BZ40" s="20">
        <f t="shared" si="49"/>
        <v>9.9999999999909051E-3</v>
      </c>
      <c r="CB40">
        <f t="shared" si="18"/>
        <v>45</v>
      </c>
      <c r="CC40">
        <f t="shared" si="19"/>
        <v>-20</v>
      </c>
      <c r="CD40">
        <f t="shared" si="20"/>
        <v>620</v>
      </c>
      <c r="CE40" s="19">
        <v>-899.375</v>
      </c>
      <c r="CF40" s="2">
        <f t="shared" si="21"/>
        <v>620.625</v>
      </c>
      <c r="CG40" s="23">
        <f t="shared" si="22"/>
        <v>-19.865000000000009</v>
      </c>
      <c r="CH40" s="6">
        <f t="shared" si="23"/>
        <v>-0.625</v>
      </c>
      <c r="CI40" s="12">
        <f t="shared" si="24"/>
        <v>-0.13499999999999091</v>
      </c>
      <c r="CK40" s="20">
        <f t="shared" si="50"/>
        <v>1.4999999999986358E-2</v>
      </c>
      <c r="CM40">
        <f t="shared" si="25"/>
        <v>45</v>
      </c>
      <c r="CN40">
        <f t="shared" si="26"/>
        <v>-20</v>
      </c>
      <c r="CO40">
        <f t="shared" si="27"/>
        <v>620</v>
      </c>
      <c r="CP40" s="19">
        <v>-899.37</v>
      </c>
      <c r="CQ40" s="2">
        <f t="shared" si="28"/>
        <v>620.62999999999977</v>
      </c>
      <c r="CR40" s="23">
        <f t="shared" si="29"/>
        <v>-19.850000000000023</v>
      </c>
      <c r="CS40" s="6">
        <f t="shared" si="30"/>
        <v>-0.62999999999976808</v>
      </c>
      <c r="CT40" s="12">
        <f t="shared" si="31"/>
        <v>-0.14999999999997726</v>
      </c>
      <c r="CV40" s="20">
        <f t="shared" si="51"/>
        <v>0</v>
      </c>
      <c r="CX40">
        <f t="shared" si="32"/>
        <v>45</v>
      </c>
      <c r="CY40">
        <f t="shared" si="33"/>
        <v>-20</v>
      </c>
      <c r="CZ40">
        <f t="shared" si="34"/>
        <v>620</v>
      </c>
      <c r="DA40" s="19">
        <v>-899.375</v>
      </c>
      <c r="DB40" s="2">
        <f t="shared" si="35"/>
        <v>620.62499999999955</v>
      </c>
      <c r="DC40" s="23">
        <f t="shared" si="36"/>
        <v>-19.850000000000023</v>
      </c>
      <c r="DD40" s="6">
        <f t="shared" si="37"/>
        <v>-0.62499999999954525</v>
      </c>
      <c r="DE40" s="12">
        <f t="shared" si="38"/>
        <v>-0.14999999999997726</v>
      </c>
      <c r="DM40" s="2"/>
      <c r="DN40" s="2"/>
      <c r="DO40" s="6"/>
      <c r="DP40" s="12"/>
      <c r="DQ40" s="10"/>
    </row>
    <row r="41" spans="2:121" x14ac:dyDescent="0.45">
      <c r="B41">
        <f t="shared" si="52"/>
        <v>33</v>
      </c>
      <c r="C41">
        <v>20</v>
      </c>
      <c r="D41">
        <f t="shared" si="53"/>
        <v>660</v>
      </c>
      <c r="E41" s="19">
        <v>660.66499999999996</v>
      </c>
      <c r="F41" s="23">
        <f t="shared" si="54"/>
        <v>19.824999999999932</v>
      </c>
      <c r="G41" s="6">
        <f t="shared" si="39"/>
        <v>0.66499999999996362</v>
      </c>
      <c r="H41" s="12">
        <f t="shared" si="55"/>
        <v>-0.17500000000006821</v>
      </c>
      <c r="J41" s="20">
        <f t="shared" si="0"/>
        <v>1.4999999999986358E-2</v>
      </c>
      <c r="K41" s="2"/>
      <c r="L41">
        <f t="shared" si="56"/>
        <v>33</v>
      </c>
      <c r="M41">
        <v>20</v>
      </c>
      <c r="N41">
        <f t="shared" si="57"/>
        <v>660</v>
      </c>
      <c r="O41" s="19">
        <v>660.66499999999996</v>
      </c>
      <c r="P41" s="23">
        <f t="shared" si="58"/>
        <v>19.839999999999918</v>
      </c>
      <c r="Q41" s="6">
        <f t="shared" si="40"/>
        <v>0.66499999999996362</v>
      </c>
      <c r="R41" s="27">
        <f t="shared" si="59"/>
        <v>-0.16000000000008185</v>
      </c>
      <c r="S41" s="27"/>
      <c r="T41" s="20">
        <f t="shared" si="1"/>
        <v>4.500000000007276E-2</v>
      </c>
      <c r="U41" s="2"/>
      <c r="V41">
        <f t="shared" si="60"/>
        <v>33</v>
      </c>
      <c r="W41">
        <v>20</v>
      </c>
      <c r="X41">
        <f t="shared" si="61"/>
        <v>660</v>
      </c>
      <c r="Y41" s="19">
        <v>660.68499999999995</v>
      </c>
      <c r="Z41" s="23">
        <f t="shared" si="62"/>
        <v>19.884999999999991</v>
      </c>
      <c r="AA41" s="6">
        <f t="shared" si="41"/>
        <v>0.68499999999994543</v>
      </c>
      <c r="AB41" s="27">
        <f t="shared" si="63"/>
        <v>-0.11500000000000909</v>
      </c>
      <c r="AC41" s="27"/>
      <c r="AD41" s="20">
        <f t="shared" si="2"/>
        <v>5.5000000000063665E-2</v>
      </c>
      <c r="AE41" s="2"/>
      <c r="AF41">
        <f t="shared" si="64"/>
        <v>33</v>
      </c>
      <c r="AG41">
        <v>20</v>
      </c>
      <c r="AH41">
        <f t="shared" si="65"/>
        <v>660</v>
      </c>
      <c r="AI41" s="19">
        <v>660.72</v>
      </c>
      <c r="AJ41" s="23">
        <f t="shared" si="66"/>
        <v>19.940000000000055</v>
      </c>
      <c r="AK41" s="6">
        <f t="shared" si="42"/>
        <v>0.72000000000002728</v>
      </c>
      <c r="AL41" s="27">
        <f t="shared" si="67"/>
        <v>-5.999999999994543E-2</v>
      </c>
      <c r="AM41" s="27"/>
      <c r="AN41" s="20">
        <f t="shared" si="3"/>
        <v>2.9999999999972715E-2</v>
      </c>
      <c r="AO41" s="2"/>
      <c r="AP41">
        <f t="shared" si="68"/>
        <v>33</v>
      </c>
      <c r="AQ41">
        <v>20</v>
      </c>
      <c r="AR41">
        <f t="shared" si="69"/>
        <v>660</v>
      </c>
      <c r="AS41" s="19">
        <v>660.72500000000002</v>
      </c>
      <c r="AT41" s="23">
        <f t="shared" si="70"/>
        <v>19.970000000000027</v>
      </c>
      <c r="AU41" s="6">
        <f t="shared" si="43"/>
        <v>0.72500000000002274</v>
      </c>
      <c r="AV41" s="27">
        <f t="shared" si="71"/>
        <v>-2.9999999999972715E-2</v>
      </c>
      <c r="AW41" s="27"/>
      <c r="AX41" s="27"/>
      <c r="AY41" s="2">
        <f t="shared" si="44"/>
        <v>660.69199999999989</v>
      </c>
      <c r="AZ41" s="23">
        <f t="shared" si="45"/>
        <v>19.891999999999985</v>
      </c>
      <c r="BA41" s="6">
        <f t="shared" si="46"/>
        <v>0.69199999999998452</v>
      </c>
      <c r="BB41" s="27">
        <f t="shared" si="47"/>
        <v>-0.10800000000001546</v>
      </c>
      <c r="BC41" s="27"/>
      <c r="BD41" s="36"/>
      <c r="BF41">
        <f t="shared" si="4"/>
        <v>44</v>
      </c>
      <c r="BG41">
        <f t="shared" si="5"/>
        <v>-20</v>
      </c>
      <c r="BH41">
        <f t="shared" si="6"/>
        <v>640</v>
      </c>
      <c r="BI41" s="19">
        <v>-879.48500000000001</v>
      </c>
      <c r="BJ41" s="2">
        <f t="shared" si="7"/>
        <v>640.51500000000033</v>
      </c>
      <c r="BK41" s="23">
        <f t="shared" si="8"/>
        <v>-19.960000000000036</v>
      </c>
      <c r="BL41" s="6">
        <f t="shared" si="9"/>
        <v>-0.51500000000032742</v>
      </c>
      <c r="BM41" s="12">
        <f t="shared" si="10"/>
        <v>-3.999999999996362E-2</v>
      </c>
      <c r="BO41" s="20">
        <f t="shared" si="48"/>
        <v>4.9999999999954525E-3</v>
      </c>
      <c r="BQ41">
        <f t="shared" si="11"/>
        <v>44</v>
      </c>
      <c r="BR41">
        <f t="shared" si="12"/>
        <v>-20</v>
      </c>
      <c r="BS41">
        <f t="shared" si="13"/>
        <v>640</v>
      </c>
      <c r="BT41" s="19">
        <v>-879.505</v>
      </c>
      <c r="BU41" s="2">
        <f t="shared" si="14"/>
        <v>640.49499999999955</v>
      </c>
      <c r="BV41" s="23">
        <f t="shared" si="15"/>
        <v>-19.955000000000041</v>
      </c>
      <c r="BW41" s="6">
        <f t="shared" si="16"/>
        <v>-0.4949999999995498</v>
      </c>
      <c r="BX41" s="12">
        <f t="shared" si="17"/>
        <v>-4.4999999999959073E-2</v>
      </c>
      <c r="BY41" s="12"/>
      <c r="BZ41" s="20">
        <f t="shared" si="49"/>
        <v>0</v>
      </c>
      <c r="CB41">
        <f t="shared" si="18"/>
        <v>44</v>
      </c>
      <c r="CC41">
        <f t="shared" si="19"/>
        <v>-20</v>
      </c>
      <c r="CD41">
        <f t="shared" si="20"/>
        <v>640</v>
      </c>
      <c r="CE41" s="19">
        <v>-879.51</v>
      </c>
      <c r="CF41" s="2">
        <f t="shared" si="21"/>
        <v>640.49</v>
      </c>
      <c r="CG41" s="23">
        <f t="shared" si="22"/>
        <v>-19.955000000000041</v>
      </c>
      <c r="CH41" s="6">
        <f t="shared" si="23"/>
        <v>-0.49000000000000909</v>
      </c>
      <c r="CI41" s="12">
        <f t="shared" si="24"/>
        <v>-4.4999999999959073E-2</v>
      </c>
      <c r="CK41" s="20">
        <f t="shared" si="50"/>
        <v>-1.4999999999986358E-2</v>
      </c>
      <c r="CM41">
        <f t="shared" si="25"/>
        <v>44</v>
      </c>
      <c r="CN41">
        <f t="shared" si="26"/>
        <v>-20</v>
      </c>
      <c r="CO41">
        <f t="shared" si="27"/>
        <v>640</v>
      </c>
      <c r="CP41" s="19">
        <v>-879.52</v>
      </c>
      <c r="CQ41" s="2">
        <f t="shared" si="28"/>
        <v>640.47999999999979</v>
      </c>
      <c r="CR41" s="23">
        <f t="shared" si="29"/>
        <v>-19.970000000000027</v>
      </c>
      <c r="CS41" s="6">
        <f t="shared" si="30"/>
        <v>-0.47999999999979082</v>
      </c>
      <c r="CT41" s="12">
        <f t="shared" si="31"/>
        <v>-2.9999999999972715E-2</v>
      </c>
      <c r="CV41" s="20">
        <f t="shared" si="51"/>
        <v>0</v>
      </c>
      <c r="CX41">
        <f t="shared" si="32"/>
        <v>44</v>
      </c>
      <c r="CY41">
        <f t="shared" si="33"/>
        <v>-20</v>
      </c>
      <c r="CZ41">
        <f t="shared" si="34"/>
        <v>640</v>
      </c>
      <c r="DA41" s="19">
        <v>-879.52499999999998</v>
      </c>
      <c r="DB41" s="2">
        <f t="shared" si="35"/>
        <v>640.47499999999957</v>
      </c>
      <c r="DC41" s="23">
        <f t="shared" si="36"/>
        <v>-19.970000000000027</v>
      </c>
      <c r="DD41" s="6">
        <f t="shared" si="37"/>
        <v>-0.47499999999956799</v>
      </c>
      <c r="DE41" s="12">
        <f t="shared" si="38"/>
        <v>-2.9999999999972715E-2</v>
      </c>
      <c r="DM41" s="2"/>
      <c r="DN41" s="2"/>
      <c r="DO41" s="6"/>
      <c r="DP41" s="12"/>
      <c r="DQ41" s="10"/>
    </row>
    <row r="42" spans="2:121" x14ac:dyDescent="0.45">
      <c r="B42">
        <f t="shared" si="52"/>
        <v>34</v>
      </c>
      <c r="C42">
        <v>20</v>
      </c>
      <c r="D42">
        <f t="shared" si="53"/>
        <v>680</v>
      </c>
      <c r="E42" s="19">
        <v>680.66499999999996</v>
      </c>
      <c r="F42" s="23">
        <f t="shared" si="54"/>
        <v>20</v>
      </c>
      <c r="G42" s="6">
        <f t="shared" si="39"/>
        <v>0.66499999999996362</v>
      </c>
      <c r="H42" s="12">
        <f t="shared" si="55"/>
        <v>0</v>
      </c>
      <c r="J42" s="20">
        <f t="shared" si="0"/>
        <v>-2.9999999999972715E-2</v>
      </c>
      <c r="K42" s="2"/>
      <c r="L42">
        <f t="shared" si="56"/>
        <v>34</v>
      </c>
      <c r="M42">
        <v>20</v>
      </c>
      <c r="N42">
        <f t="shared" si="57"/>
        <v>680</v>
      </c>
      <c r="O42" s="19">
        <v>680.63499999999999</v>
      </c>
      <c r="P42" s="23">
        <f t="shared" si="58"/>
        <v>19.970000000000027</v>
      </c>
      <c r="Q42" s="6">
        <f t="shared" si="40"/>
        <v>0.63499999999999091</v>
      </c>
      <c r="R42" s="27">
        <f t="shared" si="59"/>
        <v>-2.9999999999972715E-2</v>
      </c>
      <c r="S42" s="27"/>
      <c r="T42" s="20">
        <f t="shared" si="1"/>
        <v>-1.999999999998181E-2</v>
      </c>
      <c r="U42" s="2"/>
      <c r="V42">
        <f t="shared" si="60"/>
        <v>34</v>
      </c>
      <c r="W42">
        <v>20</v>
      </c>
      <c r="X42">
        <f t="shared" si="61"/>
        <v>680</v>
      </c>
      <c r="Y42" s="19">
        <v>680.63499999999999</v>
      </c>
      <c r="Z42" s="23">
        <f t="shared" si="62"/>
        <v>19.950000000000045</v>
      </c>
      <c r="AA42" s="6">
        <f t="shared" si="41"/>
        <v>0.63499999999999091</v>
      </c>
      <c r="AB42" s="27">
        <f t="shared" si="63"/>
        <v>-4.9999999999954525E-2</v>
      </c>
      <c r="AC42" s="27"/>
      <c r="AD42" s="20">
        <f t="shared" si="2"/>
        <v>-3.5000000000081855E-2</v>
      </c>
      <c r="AE42" s="2"/>
      <c r="AF42">
        <f t="shared" si="64"/>
        <v>34</v>
      </c>
      <c r="AG42">
        <v>20</v>
      </c>
      <c r="AH42">
        <f t="shared" si="65"/>
        <v>680</v>
      </c>
      <c r="AI42" s="19">
        <v>680.63499999999999</v>
      </c>
      <c r="AJ42" s="23">
        <f t="shared" si="66"/>
        <v>19.914999999999964</v>
      </c>
      <c r="AK42" s="6">
        <f t="shared" si="42"/>
        <v>0.63499999999999091</v>
      </c>
      <c r="AL42" s="27">
        <f t="shared" si="67"/>
        <v>-8.500000000003638E-2</v>
      </c>
      <c r="AM42" s="27"/>
      <c r="AN42" s="20">
        <f t="shared" si="3"/>
        <v>-1.4999999999986358E-2</v>
      </c>
      <c r="AO42" s="2"/>
      <c r="AP42">
        <f t="shared" si="68"/>
        <v>34</v>
      </c>
      <c r="AQ42">
        <v>20</v>
      </c>
      <c r="AR42">
        <f t="shared" si="69"/>
        <v>680</v>
      </c>
      <c r="AS42" s="19">
        <v>680.625</v>
      </c>
      <c r="AT42" s="23">
        <f t="shared" si="70"/>
        <v>19.899999999999977</v>
      </c>
      <c r="AU42" s="6">
        <f t="shared" si="43"/>
        <v>0.625</v>
      </c>
      <c r="AV42" s="27">
        <f t="shared" si="71"/>
        <v>-0.10000000000002274</v>
      </c>
      <c r="AW42" s="27"/>
      <c r="AX42" s="27"/>
      <c r="AY42" s="2">
        <f t="shared" si="44"/>
        <v>680.6389999999999</v>
      </c>
      <c r="AZ42" s="23">
        <f t="shared" si="45"/>
        <v>19.947000000000003</v>
      </c>
      <c r="BA42" s="6">
        <f t="shared" si="46"/>
        <v>0.63899999999998724</v>
      </c>
      <c r="BB42" s="27">
        <f t="shared" si="47"/>
        <v>-5.2999999999997272E-2</v>
      </c>
      <c r="BC42" s="27"/>
      <c r="BD42" s="36"/>
      <c r="BF42">
        <f t="shared" si="4"/>
        <v>43</v>
      </c>
      <c r="BG42">
        <f t="shared" si="5"/>
        <v>-20</v>
      </c>
      <c r="BH42">
        <f t="shared" si="6"/>
        <v>660</v>
      </c>
      <c r="BI42" s="19">
        <v>-859.52499999999998</v>
      </c>
      <c r="BJ42" s="2">
        <f t="shared" si="7"/>
        <v>660.47500000000036</v>
      </c>
      <c r="BK42" s="23">
        <f t="shared" si="8"/>
        <v>-19.965000000000032</v>
      </c>
      <c r="BL42" s="6">
        <f t="shared" si="9"/>
        <v>-0.4750000000003638</v>
      </c>
      <c r="BM42" s="12">
        <f t="shared" si="10"/>
        <v>-3.4999999999968168E-2</v>
      </c>
      <c r="BO42" s="20">
        <f t="shared" si="48"/>
        <v>-4.9999999998817657E-3</v>
      </c>
      <c r="BQ42">
        <f t="shared" si="11"/>
        <v>43</v>
      </c>
      <c r="BR42">
        <f t="shared" si="12"/>
        <v>-20</v>
      </c>
      <c r="BS42">
        <f t="shared" si="13"/>
        <v>660</v>
      </c>
      <c r="BT42" s="19">
        <v>-859.55</v>
      </c>
      <c r="BU42" s="2">
        <f t="shared" si="14"/>
        <v>660.44999999999959</v>
      </c>
      <c r="BV42" s="23">
        <f t="shared" si="15"/>
        <v>-19.969999999999914</v>
      </c>
      <c r="BW42" s="6">
        <f t="shared" si="16"/>
        <v>-0.44999999999959073</v>
      </c>
      <c r="BX42" s="12">
        <f t="shared" si="17"/>
        <v>-3.0000000000086402E-2</v>
      </c>
      <c r="BY42" s="12"/>
      <c r="BZ42" s="20">
        <f t="shared" si="49"/>
        <v>-9.9999999999909051E-3</v>
      </c>
      <c r="CB42">
        <f t="shared" si="18"/>
        <v>43</v>
      </c>
      <c r="CC42">
        <f t="shared" si="19"/>
        <v>-20</v>
      </c>
      <c r="CD42">
        <f t="shared" si="20"/>
        <v>660</v>
      </c>
      <c r="CE42" s="19">
        <v>-859.55499999999995</v>
      </c>
      <c r="CF42" s="2">
        <f t="shared" si="21"/>
        <v>660.44500000000005</v>
      </c>
      <c r="CG42" s="23">
        <f t="shared" si="22"/>
        <v>-19.979999999999905</v>
      </c>
      <c r="CH42" s="6">
        <f t="shared" si="23"/>
        <v>-0.44500000000005002</v>
      </c>
      <c r="CI42" s="12">
        <f t="shared" si="24"/>
        <v>-2.0000000000095497E-2</v>
      </c>
      <c r="CK42" s="20">
        <f t="shared" si="50"/>
        <v>9.9999999999909051E-3</v>
      </c>
      <c r="CM42">
        <f t="shared" si="25"/>
        <v>43</v>
      </c>
      <c r="CN42">
        <f t="shared" si="26"/>
        <v>-20</v>
      </c>
      <c r="CO42">
        <f t="shared" si="27"/>
        <v>660</v>
      </c>
      <c r="CP42" s="19">
        <v>-859.55</v>
      </c>
      <c r="CQ42" s="2">
        <f t="shared" si="28"/>
        <v>660.44999999999982</v>
      </c>
      <c r="CR42" s="23">
        <f t="shared" si="29"/>
        <v>-19.969999999999914</v>
      </c>
      <c r="CS42" s="6">
        <f t="shared" si="30"/>
        <v>-0.4499999999998181</v>
      </c>
      <c r="CT42" s="12">
        <f t="shared" si="31"/>
        <v>-3.0000000000086402E-2</v>
      </c>
      <c r="CV42" s="20">
        <f t="shared" si="51"/>
        <v>-4.9999999999954525E-3</v>
      </c>
      <c r="CX42">
        <f t="shared" si="32"/>
        <v>43</v>
      </c>
      <c r="CY42">
        <f t="shared" si="33"/>
        <v>-20</v>
      </c>
      <c r="CZ42">
        <f t="shared" si="34"/>
        <v>660</v>
      </c>
      <c r="DA42" s="19">
        <v>-859.55499999999995</v>
      </c>
      <c r="DB42" s="2">
        <f t="shared" si="35"/>
        <v>660.4449999999996</v>
      </c>
      <c r="DC42" s="23">
        <f t="shared" si="36"/>
        <v>-19.974999999999909</v>
      </c>
      <c r="DD42" s="6">
        <f t="shared" si="37"/>
        <v>-0.44499999999959527</v>
      </c>
      <c r="DE42" s="12">
        <f t="shared" si="38"/>
        <v>-2.5000000000090949E-2</v>
      </c>
      <c r="DM42" s="2"/>
      <c r="DN42" s="2"/>
      <c r="DO42" s="6"/>
      <c r="DP42" s="12"/>
      <c r="DQ42" s="10"/>
    </row>
    <row r="43" spans="2:121" x14ac:dyDescent="0.45">
      <c r="B43">
        <f t="shared" si="52"/>
        <v>35</v>
      </c>
      <c r="C43">
        <v>20</v>
      </c>
      <c r="D43">
        <f t="shared" si="53"/>
        <v>700</v>
      </c>
      <c r="E43" s="19">
        <v>700.63499999999999</v>
      </c>
      <c r="F43" s="23">
        <f t="shared" si="54"/>
        <v>19.970000000000027</v>
      </c>
      <c r="G43" s="6">
        <f t="shared" si="39"/>
        <v>0.63499999999999091</v>
      </c>
      <c r="H43" s="12">
        <f t="shared" si="55"/>
        <v>-2.9999999999972715E-2</v>
      </c>
      <c r="J43" s="20">
        <f t="shared" si="0"/>
        <v>2.4999999999977263E-2</v>
      </c>
      <c r="K43" s="2"/>
      <c r="L43">
        <f t="shared" si="56"/>
        <v>35</v>
      </c>
      <c r="M43">
        <v>20</v>
      </c>
      <c r="N43">
        <f t="shared" si="57"/>
        <v>700</v>
      </c>
      <c r="O43" s="19">
        <v>700.63</v>
      </c>
      <c r="P43" s="23">
        <f t="shared" si="58"/>
        <v>19.995000000000005</v>
      </c>
      <c r="Q43" s="6">
        <f t="shared" si="40"/>
        <v>0.62999999999999545</v>
      </c>
      <c r="R43" s="27">
        <f t="shared" si="59"/>
        <v>-4.9999999999954525E-3</v>
      </c>
      <c r="S43" s="27"/>
      <c r="T43" s="20">
        <f t="shared" si="1"/>
        <v>4.9999999999954525E-3</v>
      </c>
      <c r="U43" s="2"/>
      <c r="V43">
        <f t="shared" si="60"/>
        <v>35</v>
      </c>
      <c r="W43">
        <v>20</v>
      </c>
      <c r="X43">
        <f t="shared" si="61"/>
        <v>700</v>
      </c>
      <c r="Y43" s="19">
        <v>700.63499999999999</v>
      </c>
      <c r="Z43" s="23">
        <f t="shared" si="62"/>
        <v>20</v>
      </c>
      <c r="AA43" s="6">
        <f t="shared" si="41"/>
        <v>0.63499999999999091</v>
      </c>
      <c r="AB43" s="27">
        <f t="shared" si="63"/>
        <v>0</v>
      </c>
      <c r="AC43" s="27"/>
      <c r="AD43" s="20">
        <f t="shared" si="2"/>
        <v>9.9999999999909051E-3</v>
      </c>
      <c r="AE43" s="2"/>
      <c r="AF43">
        <f t="shared" si="64"/>
        <v>35</v>
      </c>
      <c r="AG43">
        <v>20</v>
      </c>
      <c r="AH43">
        <f t="shared" si="65"/>
        <v>700</v>
      </c>
      <c r="AI43" s="19">
        <v>700.64499999999998</v>
      </c>
      <c r="AJ43" s="23">
        <f t="shared" si="66"/>
        <v>20.009999999999991</v>
      </c>
      <c r="AK43" s="6">
        <f t="shared" si="42"/>
        <v>0.64499999999998181</v>
      </c>
      <c r="AL43" s="27">
        <f t="shared" si="67"/>
        <v>9.9999999999909051E-3</v>
      </c>
      <c r="AM43" s="27"/>
      <c r="AN43" s="20">
        <f t="shared" si="3"/>
        <v>-4.9999999999954525E-3</v>
      </c>
      <c r="AO43" s="2"/>
      <c r="AP43">
        <f t="shared" si="68"/>
        <v>35</v>
      </c>
      <c r="AQ43">
        <v>20</v>
      </c>
      <c r="AR43">
        <f t="shared" si="69"/>
        <v>700</v>
      </c>
      <c r="AS43" s="19">
        <v>700.63</v>
      </c>
      <c r="AT43" s="23">
        <f t="shared" si="70"/>
        <v>20.004999999999995</v>
      </c>
      <c r="AU43" s="6">
        <f t="shared" si="43"/>
        <v>0.62999999999999545</v>
      </c>
      <c r="AV43" s="27">
        <f t="shared" si="71"/>
        <v>4.9999999999954525E-3</v>
      </c>
      <c r="AW43" s="27"/>
      <c r="AX43" s="27"/>
      <c r="AY43" s="2">
        <f t="shared" si="44"/>
        <v>700.63499999999999</v>
      </c>
      <c r="AZ43" s="23">
        <f t="shared" si="45"/>
        <v>19.996000000000002</v>
      </c>
      <c r="BA43" s="6">
        <f t="shared" si="46"/>
        <v>0.63499999999999091</v>
      </c>
      <c r="BB43" s="27">
        <f t="shared" si="47"/>
        <v>-3.9999999999963624E-3</v>
      </c>
      <c r="BC43" s="27"/>
      <c r="BD43" s="36"/>
      <c r="BF43">
        <f t="shared" si="4"/>
        <v>42</v>
      </c>
      <c r="BG43">
        <f t="shared" si="5"/>
        <v>-20</v>
      </c>
      <c r="BH43">
        <f t="shared" si="6"/>
        <v>680</v>
      </c>
      <c r="BI43" s="19">
        <v>-839.56</v>
      </c>
      <c r="BJ43" s="2">
        <f t="shared" si="7"/>
        <v>680.4400000000004</v>
      </c>
      <c r="BK43" s="23">
        <f t="shared" si="8"/>
        <v>-20.004999999999995</v>
      </c>
      <c r="BL43" s="6">
        <f t="shared" si="9"/>
        <v>-0.44000000000039563</v>
      </c>
      <c r="BM43" s="12">
        <f t="shared" si="10"/>
        <v>4.9999999999954525E-3</v>
      </c>
      <c r="BO43" s="20">
        <f t="shared" si="48"/>
        <v>0</v>
      </c>
      <c r="BQ43">
        <f t="shared" si="11"/>
        <v>42</v>
      </c>
      <c r="BR43">
        <f t="shared" si="12"/>
        <v>-20</v>
      </c>
      <c r="BS43">
        <f t="shared" si="13"/>
        <v>680</v>
      </c>
      <c r="BT43" s="19">
        <v>-839.58</v>
      </c>
      <c r="BU43" s="2">
        <f t="shared" si="14"/>
        <v>680.4199999999995</v>
      </c>
      <c r="BV43" s="23">
        <f t="shared" si="15"/>
        <v>-20.004999999999995</v>
      </c>
      <c r="BW43" s="6">
        <f t="shared" si="16"/>
        <v>-0.41999999999950433</v>
      </c>
      <c r="BX43" s="12">
        <f t="shared" si="17"/>
        <v>4.9999999999954525E-3</v>
      </c>
      <c r="BY43" s="12"/>
      <c r="BZ43" s="20">
        <f t="shared" si="49"/>
        <v>4.9999999999954525E-3</v>
      </c>
      <c r="CB43">
        <f t="shared" si="18"/>
        <v>42</v>
      </c>
      <c r="CC43">
        <f t="shared" si="19"/>
        <v>-20</v>
      </c>
      <c r="CD43">
        <f t="shared" si="20"/>
        <v>680</v>
      </c>
      <c r="CE43" s="19">
        <v>-839.57500000000005</v>
      </c>
      <c r="CF43" s="2">
        <f t="shared" si="21"/>
        <v>680.42499999999995</v>
      </c>
      <c r="CG43" s="23">
        <f t="shared" si="22"/>
        <v>-20</v>
      </c>
      <c r="CH43" s="6">
        <f t="shared" si="23"/>
        <v>-0.42499999999995453</v>
      </c>
      <c r="CI43" s="12">
        <f t="shared" si="24"/>
        <v>0</v>
      </c>
      <c r="CK43" s="20">
        <f t="shared" si="50"/>
        <v>-4.9999999999954525E-3</v>
      </c>
      <c r="CM43">
        <f t="shared" si="25"/>
        <v>42</v>
      </c>
      <c r="CN43">
        <f t="shared" si="26"/>
        <v>-20</v>
      </c>
      <c r="CO43">
        <f t="shared" si="27"/>
        <v>680</v>
      </c>
      <c r="CP43" s="19">
        <v>-839.58</v>
      </c>
      <c r="CQ43" s="2">
        <f t="shared" si="28"/>
        <v>680.41999999999973</v>
      </c>
      <c r="CR43" s="23">
        <f t="shared" si="29"/>
        <v>-20.004999999999995</v>
      </c>
      <c r="CS43" s="6">
        <f t="shared" si="30"/>
        <v>-0.4199999999997317</v>
      </c>
      <c r="CT43" s="12">
        <f t="shared" si="31"/>
        <v>4.9999999999954525E-3</v>
      </c>
      <c r="CV43" s="20">
        <f t="shared" si="51"/>
        <v>4.9999999999954525E-3</v>
      </c>
      <c r="CX43">
        <f t="shared" si="32"/>
        <v>42</v>
      </c>
      <c r="CY43">
        <f t="shared" si="33"/>
        <v>-20</v>
      </c>
      <c r="CZ43">
        <f t="shared" si="34"/>
        <v>680</v>
      </c>
      <c r="DA43" s="19">
        <v>-839.58</v>
      </c>
      <c r="DB43" s="2">
        <f t="shared" si="35"/>
        <v>680.4199999999995</v>
      </c>
      <c r="DC43" s="23">
        <f t="shared" si="36"/>
        <v>-20</v>
      </c>
      <c r="DD43" s="6">
        <f t="shared" si="37"/>
        <v>-0.41999999999950433</v>
      </c>
      <c r="DE43" s="12">
        <f t="shared" si="38"/>
        <v>0</v>
      </c>
      <c r="DM43" s="2"/>
      <c r="DN43" s="2"/>
      <c r="DO43" s="6"/>
      <c r="DP43" s="12"/>
      <c r="DQ43" s="10"/>
    </row>
    <row r="44" spans="2:121" x14ac:dyDescent="0.45">
      <c r="B44">
        <f t="shared" si="52"/>
        <v>36</v>
      </c>
      <c r="C44">
        <v>20</v>
      </c>
      <c r="D44">
        <f t="shared" si="53"/>
        <v>720</v>
      </c>
      <c r="E44" s="19">
        <v>720.67499999999995</v>
      </c>
      <c r="F44" s="23">
        <f t="shared" si="54"/>
        <v>20.039999999999964</v>
      </c>
      <c r="G44" s="6">
        <f t="shared" si="39"/>
        <v>0.67499999999995453</v>
      </c>
      <c r="H44" s="12">
        <f t="shared" si="55"/>
        <v>3.999999999996362E-2</v>
      </c>
      <c r="J44" s="20">
        <f t="shared" si="0"/>
        <v>-3.999999999996362E-2</v>
      </c>
      <c r="K44" s="2"/>
      <c r="L44">
        <f t="shared" si="56"/>
        <v>36</v>
      </c>
      <c r="M44">
        <v>20</v>
      </c>
      <c r="N44">
        <f t="shared" si="57"/>
        <v>720</v>
      </c>
      <c r="O44" s="19">
        <v>720.63</v>
      </c>
      <c r="P44" s="23">
        <f t="shared" si="58"/>
        <v>20</v>
      </c>
      <c r="Q44" s="6">
        <f t="shared" si="40"/>
        <v>0.62999999999999545</v>
      </c>
      <c r="R44" s="27">
        <f t="shared" si="59"/>
        <v>0</v>
      </c>
      <c r="S44" s="27"/>
      <c r="T44" s="20">
        <f t="shared" si="1"/>
        <v>1.999999999998181E-2</v>
      </c>
      <c r="U44" s="2"/>
      <c r="V44">
        <f t="shared" si="60"/>
        <v>36</v>
      </c>
      <c r="W44">
        <v>20</v>
      </c>
      <c r="X44">
        <f t="shared" si="61"/>
        <v>720</v>
      </c>
      <c r="Y44" s="19">
        <v>720.65499999999997</v>
      </c>
      <c r="Z44" s="23">
        <f t="shared" si="62"/>
        <v>20.019999999999982</v>
      </c>
      <c r="AA44" s="6">
        <f t="shared" si="41"/>
        <v>0.65499999999997272</v>
      </c>
      <c r="AB44" s="27">
        <f t="shared" si="63"/>
        <v>1.999999999998181E-2</v>
      </c>
      <c r="AC44" s="27"/>
      <c r="AD44" s="20">
        <f t="shared" si="2"/>
        <v>-3.4999999999968168E-2</v>
      </c>
      <c r="AE44" s="2"/>
      <c r="AF44">
        <f t="shared" si="64"/>
        <v>36</v>
      </c>
      <c r="AG44">
        <v>20</v>
      </c>
      <c r="AH44">
        <f t="shared" si="65"/>
        <v>720</v>
      </c>
      <c r="AI44" s="19">
        <v>720.63</v>
      </c>
      <c r="AJ44" s="23">
        <f t="shared" si="66"/>
        <v>19.985000000000014</v>
      </c>
      <c r="AK44" s="6">
        <f t="shared" si="42"/>
        <v>0.62999999999999545</v>
      </c>
      <c r="AL44" s="27">
        <f t="shared" si="67"/>
        <v>-1.4999999999986358E-2</v>
      </c>
      <c r="AM44" s="27"/>
      <c r="AN44" s="20">
        <f t="shared" si="3"/>
        <v>9.9999999999909051E-3</v>
      </c>
      <c r="AO44" s="2"/>
      <c r="AP44">
        <f t="shared" si="68"/>
        <v>36</v>
      </c>
      <c r="AQ44">
        <v>20</v>
      </c>
      <c r="AR44">
        <f t="shared" si="69"/>
        <v>720</v>
      </c>
      <c r="AS44" s="19">
        <v>720.625</v>
      </c>
      <c r="AT44" s="23">
        <f t="shared" si="70"/>
        <v>19.995000000000005</v>
      </c>
      <c r="AU44" s="6">
        <f t="shared" si="43"/>
        <v>0.625</v>
      </c>
      <c r="AV44" s="27">
        <f t="shared" si="71"/>
        <v>-4.9999999999954525E-3</v>
      </c>
      <c r="AW44" s="27"/>
      <c r="AX44" s="27"/>
      <c r="AY44" s="2">
        <f t="shared" si="44"/>
        <v>720.64300000000003</v>
      </c>
      <c r="AZ44" s="23">
        <f t="shared" si="45"/>
        <v>20.007999999999992</v>
      </c>
      <c r="BA44" s="6">
        <f t="shared" si="46"/>
        <v>0.64299999999998358</v>
      </c>
      <c r="BB44" s="27">
        <f t="shared" si="47"/>
        <v>7.9999999999927247E-3</v>
      </c>
      <c r="BC44" s="27"/>
      <c r="BD44" s="36"/>
      <c r="BF44">
        <f t="shared" si="4"/>
        <v>41</v>
      </c>
      <c r="BG44">
        <f t="shared" si="5"/>
        <v>-20</v>
      </c>
      <c r="BH44">
        <f t="shared" si="6"/>
        <v>700</v>
      </c>
      <c r="BI44" s="19">
        <v>-819.55499999999995</v>
      </c>
      <c r="BJ44" s="2">
        <f t="shared" si="7"/>
        <v>700.44500000000039</v>
      </c>
      <c r="BK44" s="23">
        <f t="shared" si="8"/>
        <v>-20.004999999999995</v>
      </c>
      <c r="BL44" s="6">
        <f t="shared" si="9"/>
        <v>-0.44500000000039108</v>
      </c>
      <c r="BM44" s="12">
        <f t="shared" si="10"/>
        <v>4.9999999999954525E-3</v>
      </c>
      <c r="BO44" s="20">
        <f t="shared" si="48"/>
        <v>-8.0000000000040927E-2</v>
      </c>
      <c r="BQ44">
        <f t="shared" si="11"/>
        <v>41</v>
      </c>
      <c r="BR44">
        <f t="shared" si="12"/>
        <v>-20</v>
      </c>
      <c r="BS44">
        <f t="shared" si="13"/>
        <v>700</v>
      </c>
      <c r="BT44" s="19">
        <v>-819.57500000000005</v>
      </c>
      <c r="BU44" s="2">
        <f t="shared" si="14"/>
        <v>700.4249999999995</v>
      </c>
      <c r="BV44" s="23">
        <f t="shared" si="15"/>
        <v>-20.085000000000036</v>
      </c>
      <c r="BW44" s="6">
        <f t="shared" si="16"/>
        <v>-0.42499999999949978</v>
      </c>
      <c r="BX44" s="12">
        <f t="shared" si="17"/>
        <v>8.500000000003638E-2</v>
      </c>
      <c r="BY44" s="12"/>
      <c r="BZ44" s="20">
        <f t="shared" si="49"/>
        <v>3.999999999996362E-2</v>
      </c>
      <c r="CB44">
        <f t="shared" si="18"/>
        <v>41</v>
      </c>
      <c r="CC44">
        <f t="shared" si="19"/>
        <v>-20</v>
      </c>
      <c r="CD44">
        <f t="shared" si="20"/>
        <v>700</v>
      </c>
      <c r="CE44" s="19">
        <v>-819.57500000000005</v>
      </c>
      <c r="CF44" s="2">
        <f t="shared" si="21"/>
        <v>700.42499999999995</v>
      </c>
      <c r="CG44" s="23">
        <f t="shared" si="22"/>
        <v>-20.045000000000073</v>
      </c>
      <c r="CH44" s="6">
        <f t="shared" si="23"/>
        <v>-0.42499999999995453</v>
      </c>
      <c r="CI44" s="12">
        <f t="shared" si="24"/>
        <v>4.500000000007276E-2</v>
      </c>
      <c r="CK44" s="20">
        <f t="shared" si="50"/>
        <v>-1.999999999998181E-2</v>
      </c>
      <c r="CM44">
        <f t="shared" si="25"/>
        <v>41</v>
      </c>
      <c r="CN44">
        <f t="shared" si="26"/>
        <v>-20</v>
      </c>
      <c r="CO44">
        <f t="shared" si="27"/>
        <v>700</v>
      </c>
      <c r="CP44" s="19">
        <v>-819.57500000000005</v>
      </c>
      <c r="CQ44" s="2">
        <f t="shared" si="28"/>
        <v>700.42499999999973</v>
      </c>
      <c r="CR44" s="23">
        <f t="shared" si="29"/>
        <v>-20.065000000000055</v>
      </c>
      <c r="CS44" s="6">
        <f t="shared" si="30"/>
        <v>-0.42499999999972715</v>
      </c>
      <c r="CT44" s="12">
        <f t="shared" si="31"/>
        <v>6.500000000005457E-2</v>
      </c>
      <c r="CV44" s="20">
        <f t="shared" si="51"/>
        <v>1.999999999998181E-2</v>
      </c>
      <c r="CX44">
        <f t="shared" si="32"/>
        <v>41</v>
      </c>
      <c r="CY44">
        <f t="shared" si="33"/>
        <v>-20</v>
      </c>
      <c r="CZ44">
        <f t="shared" si="34"/>
        <v>700</v>
      </c>
      <c r="DA44" s="19">
        <v>-819.58</v>
      </c>
      <c r="DB44" s="2">
        <f t="shared" si="35"/>
        <v>700.4199999999995</v>
      </c>
      <c r="DC44" s="23">
        <f t="shared" si="36"/>
        <v>-20.045000000000073</v>
      </c>
      <c r="DD44" s="6">
        <f t="shared" si="37"/>
        <v>-0.41999999999950433</v>
      </c>
      <c r="DE44" s="12">
        <f t="shared" si="38"/>
        <v>4.500000000007276E-2</v>
      </c>
      <c r="DM44" s="2"/>
      <c r="DN44" s="2"/>
      <c r="DO44" s="6"/>
      <c r="DP44" s="12"/>
      <c r="DQ44" s="10"/>
    </row>
    <row r="45" spans="2:121" x14ac:dyDescent="0.45">
      <c r="B45">
        <f t="shared" si="52"/>
        <v>37</v>
      </c>
      <c r="C45">
        <v>20</v>
      </c>
      <c r="D45">
        <f t="shared" si="53"/>
        <v>740</v>
      </c>
      <c r="E45" s="19">
        <v>740.61500000000001</v>
      </c>
      <c r="F45" s="23">
        <f t="shared" si="54"/>
        <v>19.940000000000055</v>
      </c>
      <c r="G45" s="6">
        <f t="shared" si="39"/>
        <v>0.61500000000000909</v>
      </c>
      <c r="H45" s="12">
        <f t="shared" si="55"/>
        <v>-5.999999999994543E-2</v>
      </c>
      <c r="J45" s="20">
        <f t="shared" si="0"/>
        <v>3.999999999996362E-2</v>
      </c>
      <c r="K45" s="2"/>
      <c r="L45">
        <f t="shared" si="56"/>
        <v>37</v>
      </c>
      <c r="M45">
        <v>20</v>
      </c>
      <c r="N45">
        <f t="shared" si="57"/>
        <v>740</v>
      </c>
      <c r="O45" s="19">
        <v>740.61</v>
      </c>
      <c r="P45" s="23">
        <f t="shared" si="58"/>
        <v>19.980000000000018</v>
      </c>
      <c r="Q45" s="6">
        <f t="shared" si="40"/>
        <v>0.61000000000001364</v>
      </c>
      <c r="R45" s="27">
        <f t="shared" si="59"/>
        <v>-1.999999999998181E-2</v>
      </c>
      <c r="S45" s="27"/>
      <c r="T45" s="20">
        <f t="shared" si="1"/>
        <v>-1.999999999998181E-2</v>
      </c>
      <c r="U45" s="2"/>
      <c r="V45">
        <f t="shared" si="60"/>
        <v>37</v>
      </c>
      <c r="W45">
        <v>20</v>
      </c>
      <c r="X45">
        <f t="shared" si="61"/>
        <v>740</v>
      </c>
      <c r="Y45" s="19">
        <v>740.61500000000001</v>
      </c>
      <c r="Z45" s="23">
        <f t="shared" si="62"/>
        <v>19.960000000000036</v>
      </c>
      <c r="AA45" s="6">
        <f t="shared" si="41"/>
        <v>0.61500000000000909</v>
      </c>
      <c r="AB45" s="27">
        <f t="shared" si="63"/>
        <v>-3.999999999996362E-2</v>
      </c>
      <c r="AC45" s="27"/>
      <c r="AD45" s="20">
        <f t="shared" si="2"/>
        <v>2.4999999999977263E-2</v>
      </c>
      <c r="AE45" s="2"/>
      <c r="AF45">
        <f t="shared" si="64"/>
        <v>37</v>
      </c>
      <c r="AG45">
        <v>20</v>
      </c>
      <c r="AH45">
        <f t="shared" si="65"/>
        <v>740</v>
      </c>
      <c r="AI45" s="19">
        <v>740.61500000000001</v>
      </c>
      <c r="AJ45" s="23">
        <f t="shared" si="66"/>
        <v>19.985000000000014</v>
      </c>
      <c r="AK45" s="6">
        <f t="shared" si="42"/>
        <v>0.61500000000000909</v>
      </c>
      <c r="AL45" s="27">
        <f t="shared" si="67"/>
        <v>-1.4999999999986358E-2</v>
      </c>
      <c r="AM45" s="27"/>
      <c r="AN45" s="20">
        <f t="shared" si="3"/>
        <v>-9.9999999999909051E-3</v>
      </c>
      <c r="AO45" s="2"/>
      <c r="AP45">
        <f t="shared" si="68"/>
        <v>37</v>
      </c>
      <c r="AQ45">
        <v>20</v>
      </c>
      <c r="AR45">
        <f t="shared" si="69"/>
        <v>740</v>
      </c>
      <c r="AS45" s="19">
        <v>740.6</v>
      </c>
      <c r="AT45" s="23">
        <f t="shared" si="70"/>
        <v>19.975000000000023</v>
      </c>
      <c r="AU45" s="6">
        <f t="shared" si="43"/>
        <v>0.60000000000002274</v>
      </c>
      <c r="AV45" s="27">
        <f t="shared" si="71"/>
        <v>-2.4999999999977263E-2</v>
      </c>
      <c r="AW45" s="27"/>
      <c r="AX45" s="27"/>
      <c r="AY45" s="2">
        <f t="shared" si="44"/>
        <v>740.61099999999999</v>
      </c>
      <c r="AZ45" s="23">
        <f t="shared" si="45"/>
        <v>19.968000000000028</v>
      </c>
      <c r="BA45" s="6">
        <f t="shared" si="46"/>
        <v>0.61100000000001276</v>
      </c>
      <c r="BB45" s="27">
        <f t="shared" si="47"/>
        <v>-3.1999999999970899E-2</v>
      </c>
      <c r="BC45" s="27"/>
      <c r="BD45" s="36"/>
      <c r="BF45">
        <f t="shared" si="4"/>
        <v>40</v>
      </c>
      <c r="BG45">
        <f t="shared" si="5"/>
        <v>-20</v>
      </c>
      <c r="BH45">
        <f t="shared" si="6"/>
        <v>720</v>
      </c>
      <c r="BI45" s="19">
        <v>-799.55</v>
      </c>
      <c r="BJ45" s="2">
        <f t="shared" si="7"/>
        <v>720.45000000000039</v>
      </c>
      <c r="BK45" s="23">
        <f t="shared" si="8"/>
        <v>-20.154999999999973</v>
      </c>
      <c r="BL45" s="6">
        <f t="shared" si="9"/>
        <v>-0.45000000000038654</v>
      </c>
      <c r="BM45" s="12">
        <f t="shared" si="10"/>
        <v>0.15499999999997272</v>
      </c>
      <c r="BO45" s="20">
        <f t="shared" si="48"/>
        <v>0.12999999999999545</v>
      </c>
      <c r="BQ45">
        <f t="shared" si="11"/>
        <v>40</v>
      </c>
      <c r="BR45">
        <f t="shared" si="12"/>
        <v>-20</v>
      </c>
      <c r="BS45">
        <f t="shared" si="13"/>
        <v>720</v>
      </c>
      <c r="BT45" s="19">
        <v>-799.49</v>
      </c>
      <c r="BU45" s="2">
        <f t="shared" si="14"/>
        <v>720.50999999999954</v>
      </c>
      <c r="BV45" s="23">
        <f t="shared" si="15"/>
        <v>-20.024999999999977</v>
      </c>
      <c r="BW45" s="6">
        <f t="shared" si="16"/>
        <v>-0.50999999999953616</v>
      </c>
      <c r="BX45" s="12">
        <f t="shared" si="17"/>
        <v>2.4999999999977263E-2</v>
      </c>
      <c r="BY45" s="12"/>
      <c r="BZ45" s="20">
        <f t="shared" si="49"/>
        <v>-0.12999999999999545</v>
      </c>
      <c r="CB45">
        <f t="shared" si="18"/>
        <v>40</v>
      </c>
      <c r="CC45">
        <f t="shared" si="19"/>
        <v>-20</v>
      </c>
      <c r="CD45">
        <f t="shared" si="20"/>
        <v>720</v>
      </c>
      <c r="CE45" s="19">
        <v>-799.53</v>
      </c>
      <c r="CF45" s="2">
        <f t="shared" si="21"/>
        <v>720.47</v>
      </c>
      <c r="CG45" s="23">
        <f t="shared" si="22"/>
        <v>-20.154999999999973</v>
      </c>
      <c r="CH45" s="6">
        <f t="shared" si="23"/>
        <v>-0.47000000000002728</v>
      </c>
      <c r="CI45" s="12">
        <f t="shared" si="24"/>
        <v>0.15499999999997272</v>
      </c>
      <c r="CK45" s="20">
        <f t="shared" si="50"/>
        <v>6.9999999999936335E-2</v>
      </c>
      <c r="CM45">
        <f t="shared" si="25"/>
        <v>40</v>
      </c>
      <c r="CN45">
        <f t="shared" si="26"/>
        <v>-20</v>
      </c>
      <c r="CO45">
        <f t="shared" si="27"/>
        <v>720</v>
      </c>
      <c r="CP45" s="19">
        <v>-799.51</v>
      </c>
      <c r="CQ45" s="2">
        <f t="shared" si="28"/>
        <v>720.48999999999978</v>
      </c>
      <c r="CR45" s="23">
        <f t="shared" si="29"/>
        <v>-20.085000000000036</v>
      </c>
      <c r="CS45" s="6">
        <f t="shared" si="30"/>
        <v>-0.48999999999978172</v>
      </c>
      <c r="CT45" s="12">
        <f t="shared" si="31"/>
        <v>8.500000000003638E-2</v>
      </c>
      <c r="CV45" s="20">
        <f t="shared" si="51"/>
        <v>-3.999999999996362E-2</v>
      </c>
      <c r="CX45">
        <f t="shared" si="32"/>
        <v>40</v>
      </c>
      <c r="CY45">
        <f t="shared" si="33"/>
        <v>-20</v>
      </c>
      <c r="CZ45">
        <f t="shared" si="34"/>
        <v>720</v>
      </c>
      <c r="DA45" s="19">
        <v>-799.53499999999997</v>
      </c>
      <c r="DB45" s="2">
        <f t="shared" si="35"/>
        <v>720.46499999999958</v>
      </c>
      <c r="DC45" s="23">
        <f t="shared" si="36"/>
        <v>-20.125</v>
      </c>
      <c r="DD45" s="6">
        <f t="shared" si="37"/>
        <v>-0.46499999999957708</v>
      </c>
      <c r="DE45" s="12">
        <f t="shared" si="38"/>
        <v>0.125</v>
      </c>
      <c r="DM45" s="2"/>
      <c r="DN45" s="2"/>
      <c r="DO45" s="6"/>
      <c r="DP45" s="12"/>
      <c r="DQ45" s="10"/>
    </row>
    <row r="46" spans="2:121" x14ac:dyDescent="0.45">
      <c r="B46">
        <f t="shared" si="52"/>
        <v>38</v>
      </c>
      <c r="C46">
        <v>20</v>
      </c>
      <c r="D46">
        <f t="shared" si="53"/>
        <v>760</v>
      </c>
      <c r="E46" s="19">
        <v>760.625</v>
      </c>
      <c r="F46" s="23">
        <f t="shared" si="54"/>
        <v>20.009999999999991</v>
      </c>
      <c r="G46" s="6">
        <f t="shared" si="39"/>
        <v>0.625</v>
      </c>
      <c r="H46" s="12">
        <f t="shared" si="55"/>
        <v>9.9999999999909051E-3</v>
      </c>
      <c r="J46" s="20">
        <f t="shared" si="0"/>
        <v>-4.9999999999954525E-3</v>
      </c>
      <c r="K46" s="2"/>
      <c r="L46">
        <f t="shared" si="56"/>
        <v>38</v>
      </c>
      <c r="M46">
        <v>20</v>
      </c>
      <c r="N46">
        <f t="shared" si="57"/>
        <v>760</v>
      </c>
      <c r="O46" s="19">
        <v>760.61500000000001</v>
      </c>
      <c r="P46" s="23">
        <f t="shared" si="58"/>
        <v>20.004999999999995</v>
      </c>
      <c r="Q46" s="6">
        <f t="shared" si="40"/>
        <v>0.61500000000000909</v>
      </c>
      <c r="R46" s="27">
        <f t="shared" si="59"/>
        <v>4.9999999999954525E-3</v>
      </c>
      <c r="S46" s="27"/>
      <c r="T46" s="20">
        <f t="shared" si="1"/>
        <v>4.9999999999954525E-3</v>
      </c>
      <c r="U46" s="2"/>
      <c r="V46">
        <f t="shared" si="60"/>
        <v>38</v>
      </c>
      <c r="W46">
        <v>20</v>
      </c>
      <c r="X46">
        <f t="shared" si="61"/>
        <v>760</v>
      </c>
      <c r="Y46" s="19">
        <v>760.625</v>
      </c>
      <c r="Z46" s="23">
        <f t="shared" si="62"/>
        <v>20.009999999999991</v>
      </c>
      <c r="AA46" s="6">
        <f t="shared" si="41"/>
        <v>0.625</v>
      </c>
      <c r="AB46" s="27">
        <f t="shared" si="63"/>
        <v>9.9999999999909051E-3</v>
      </c>
      <c r="AC46" s="27"/>
      <c r="AD46" s="20">
        <f t="shared" si="2"/>
        <v>-9.9999999999909051E-3</v>
      </c>
      <c r="AE46" s="2"/>
      <c r="AF46">
        <f t="shared" si="64"/>
        <v>38</v>
      </c>
      <c r="AG46">
        <v>20</v>
      </c>
      <c r="AH46">
        <f t="shared" si="65"/>
        <v>760</v>
      </c>
      <c r="AI46" s="19">
        <v>760.61500000000001</v>
      </c>
      <c r="AJ46" s="23">
        <f t="shared" si="66"/>
        <v>20</v>
      </c>
      <c r="AK46" s="6">
        <f t="shared" si="42"/>
        <v>0.61500000000000909</v>
      </c>
      <c r="AL46" s="27">
        <f t="shared" si="67"/>
        <v>0</v>
      </c>
      <c r="AM46" s="27"/>
      <c r="AN46" s="20">
        <f t="shared" si="3"/>
        <v>9.9999999999909051E-3</v>
      </c>
      <c r="AO46" s="2"/>
      <c r="AP46">
        <f t="shared" si="68"/>
        <v>38</v>
      </c>
      <c r="AQ46">
        <v>20</v>
      </c>
      <c r="AR46">
        <f t="shared" si="69"/>
        <v>760</v>
      </c>
      <c r="AS46" s="19">
        <v>760.61</v>
      </c>
      <c r="AT46" s="23">
        <f t="shared" si="70"/>
        <v>20.009999999999991</v>
      </c>
      <c r="AU46" s="6">
        <f t="shared" si="43"/>
        <v>0.61000000000001364</v>
      </c>
      <c r="AV46" s="27">
        <f t="shared" si="71"/>
        <v>9.9999999999909051E-3</v>
      </c>
      <c r="AW46" s="27"/>
      <c r="AX46" s="27"/>
      <c r="AY46" s="2">
        <f t="shared" si="44"/>
        <v>760.61799999999994</v>
      </c>
      <c r="AZ46" s="23">
        <f t="shared" si="45"/>
        <v>20.006999999999994</v>
      </c>
      <c r="BA46" s="6">
        <f t="shared" si="46"/>
        <v>0.61800000000000632</v>
      </c>
      <c r="BB46" s="27">
        <f t="shared" si="47"/>
        <v>6.9999999999936337E-3</v>
      </c>
      <c r="BC46" s="27"/>
      <c r="BD46" s="36"/>
      <c r="BF46">
        <f t="shared" si="4"/>
        <v>39</v>
      </c>
      <c r="BG46">
        <f t="shared" si="5"/>
        <v>-20</v>
      </c>
      <c r="BH46">
        <f t="shared" si="6"/>
        <v>740</v>
      </c>
      <c r="BI46" s="19">
        <v>-779.39499999999998</v>
      </c>
      <c r="BJ46" s="2">
        <f t="shared" si="7"/>
        <v>740.60500000000036</v>
      </c>
      <c r="BK46" s="23">
        <f t="shared" si="8"/>
        <v>-20.009999999999991</v>
      </c>
      <c r="BL46" s="6">
        <f t="shared" si="9"/>
        <v>-0.60500000000035925</v>
      </c>
      <c r="BM46" s="12">
        <f t="shared" si="10"/>
        <v>9.9999999999909051E-3</v>
      </c>
      <c r="BO46" s="20">
        <f t="shared" si="48"/>
        <v>4.9999999999954525E-3</v>
      </c>
      <c r="BQ46">
        <f t="shared" si="11"/>
        <v>39</v>
      </c>
      <c r="BR46">
        <f t="shared" si="12"/>
        <v>-20</v>
      </c>
      <c r="BS46">
        <f t="shared" si="13"/>
        <v>740</v>
      </c>
      <c r="BT46" s="19">
        <v>-779.46500000000003</v>
      </c>
      <c r="BU46" s="2">
        <f t="shared" si="14"/>
        <v>740.53499999999951</v>
      </c>
      <c r="BV46" s="23">
        <f t="shared" si="15"/>
        <v>-20.004999999999995</v>
      </c>
      <c r="BW46" s="6">
        <f t="shared" si="16"/>
        <v>-0.53499999999951342</v>
      </c>
      <c r="BX46" s="12">
        <f t="shared" si="17"/>
        <v>4.9999999999954525E-3</v>
      </c>
      <c r="BY46" s="12"/>
      <c r="BZ46" s="20">
        <f t="shared" si="49"/>
        <v>8.0000000000040927E-2</v>
      </c>
      <c r="CB46">
        <f t="shared" si="18"/>
        <v>39</v>
      </c>
      <c r="CC46">
        <f t="shared" si="19"/>
        <v>-20</v>
      </c>
      <c r="CD46">
        <f t="shared" si="20"/>
        <v>740</v>
      </c>
      <c r="CE46" s="19">
        <v>-779.375</v>
      </c>
      <c r="CF46" s="2">
        <f t="shared" si="21"/>
        <v>740.625</v>
      </c>
      <c r="CG46" s="23">
        <f t="shared" si="22"/>
        <v>-19.924999999999955</v>
      </c>
      <c r="CH46" s="6">
        <f t="shared" si="23"/>
        <v>-0.625</v>
      </c>
      <c r="CI46" s="12">
        <f t="shared" si="24"/>
        <v>-7.5000000000045475E-2</v>
      </c>
      <c r="CK46" s="20">
        <f t="shared" si="50"/>
        <v>-0.10500000000001819</v>
      </c>
      <c r="CM46">
        <f t="shared" si="25"/>
        <v>39</v>
      </c>
      <c r="CN46">
        <f t="shared" si="26"/>
        <v>-20</v>
      </c>
      <c r="CO46">
        <f t="shared" si="27"/>
        <v>740</v>
      </c>
      <c r="CP46" s="19">
        <v>-779.42499999999995</v>
      </c>
      <c r="CQ46" s="2">
        <f t="shared" si="28"/>
        <v>740.57499999999982</v>
      </c>
      <c r="CR46" s="23">
        <f t="shared" si="29"/>
        <v>-20.029999999999973</v>
      </c>
      <c r="CS46" s="6">
        <f t="shared" si="30"/>
        <v>-0.5749999999998181</v>
      </c>
      <c r="CT46" s="12">
        <f t="shared" si="31"/>
        <v>2.9999999999972715E-2</v>
      </c>
      <c r="CV46" s="20">
        <f t="shared" si="51"/>
        <v>4.9999999999954525E-2</v>
      </c>
      <c r="CX46">
        <f t="shared" si="32"/>
        <v>39</v>
      </c>
      <c r="CY46">
        <f t="shared" si="33"/>
        <v>-20</v>
      </c>
      <c r="CZ46">
        <f t="shared" si="34"/>
        <v>740</v>
      </c>
      <c r="DA46" s="19">
        <v>-779.41</v>
      </c>
      <c r="DB46" s="2">
        <f t="shared" si="35"/>
        <v>740.58999999999958</v>
      </c>
      <c r="DC46" s="23">
        <f t="shared" si="36"/>
        <v>-19.980000000000018</v>
      </c>
      <c r="DD46" s="6">
        <f t="shared" si="37"/>
        <v>-0.58999999999957708</v>
      </c>
      <c r="DE46" s="12">
        <f t="shared" si="38"/>
        <v>-1.999999999998181E-2</v>
      </c>
      <c r="DM46" s="2"/>
      <c r="DN46" s="2"/>
      <c r="DO46" s="6"/>
      <c r="DP46" s="12"/>
      <c r="DQ46" s="10"/>
    </row>
    <row r="47" spans="2:121" x14ac:dyDescent="0.45">
      <c r="B47">
        <f t="shared" si="52"/>
        <v>39</v>
      </c>
      <c r="C47">
        <v>20</v>
      </c>
      <c r="D47">
        <f t="shared" si="53"/>
        <v>780</v>
      </c>
      <c r="E47" s="19">
        <v>780.53499999999997</v>
      </c>
      <c r="F47" s="23">
        <f t="shared" si="54"/>
        <v>19.909999999999968</v>
      </c>
      <c r="G47" s="6">
        <f t="shared" si="39"/>
        <v>0.53499999999996817</v>
      </c>
      <c r="H47" s="12">
        <f t="shared" si="55"/>
        <v>-9.0000000000031832E-2</v>
      </c>
      <c r="J47" s="20">
        <f t="shared" si="0"/>
        <v>4.9999999999954525E-3</v>
      </c>
      <c r="K47" s="2"/>
      <c r="L47">
        <f t="shared" si="56"/>
        <v>39</v>
      </c>
      <c r="M47">
        <v>20</v>
      </c>
      <c r="N47">
        <f t="shared" si="57"/>
        <v>780</v>
      </c>
      <c r="O47" s="19">
        <v>780.53</v>
      </c>
      <c r="P47" s="23">
        <f t="shared" si="58"/>
        <v>19.914999999999964</v>
      </c>
      <c r="Q47" s="6">
        <f t="shared" si="40"/>
        <v>0.52999999999997272</v>
      </c>
      <c r="R47" s="27">
        <f t="shared" si="59"/>
        <v>-8.500000000003638E-2</v>
      </c>
      <c r="S47" s="27"/>
      <c r="T47" s="20">
        <f t="shared" si="1"/>
        <v>-4.9999999999954525E-3</v>
      </c>
      <c r="U47" s="2"/>
      <c r="V47">
        <f t="shared" si="60"/>
        <v>39</v>
      </c>
      <c r="W47">
        <v>20</v>
      </c>
      <c r="X47">
        <f t="shared" si="61"/>
        <v>780</v>
      </c>
      <c r="Y47" s="19">
        <v>780.53499999999997</v>
      </c>
      <c r="Z47" s="23">
        <f t="shared" si="62"/>
        <v>19.909999999999968</v>
      </c>
      <c r="AA47" s="6">
        <f t="shared" si="41"/>
        <v>0.53499999999996817</v>
      </c>
      <c r="AB47" s="27">
        <f t="shared" si="63"/>
        <v>-9.0000000000031832E-2</v>
      </c>
      <c r="AC47" s="27"/>
      <c r="AD47" s="20">
        <f t="shared" si="2"/>
        <v>4.9999999999954525E-3</v>
      </c>
      <c r="AE47" s="2"/>
      <c r="AF47">
        <f t="shared" si="64"/>
        <v>39</v>
      </c>
      <c r="AG47">
        <v>20</v>
      </c>
      <c r="AH47">
        <f t="shared" si="65"/>
        <v>780</v>
      </c>
      <c r="AI47" s="19">
        <v>780.53</v>
      </c>
      <c r="AJ47" s="23">
        <f t="shared" si="66"/>
        <v>19.914999999999964</v>
      </c>
      <c r="AK47" s="6">
        <f t="shared" si="42"/>
        <v>0.52999999999997272</v>
      </c>
      <c r="AL47" s="27">
        <f t="shared" si="67"/>
        <v>-8.500000000003638E-2</v>
      </c>
      <c r="AM47" s="27"/>
      <c r="AN47" s="20">
        <f t="shared" si="3"/>
        <v>-4.9999999999954525E-3</v>
      </c>
      <c r="AO47" s="2"/>
      <c r="AP47">
        <f t="shared" si="68"/>
        <v>39</v>
      </c>
      <c r="AQ47">
        <v>20</v>
      </c>
      <c r="AR47">
        <f t="shared" si="69"/>
        <v>780</v>
      </c>
      <c r="AS47" s="19">
        <v>780.52</v>
      </c>
      <c r="AT47" s="23">
        <f t="shared" si="70"/>
        <v>19.909999999999968</v>
      </c>
      <c r="AU47" s="6">
        <f t="shared" si="43"/>
        <v>0.51999999999998181</v>
      </c>
      <c r="AV47" s="27">
        <f t="shared" si="71"/>
        <v>-9.0000000000031832E-2</v>
      </c>
      <c r="AW47" s="27"/>
      <c r="AX47" s="27"/>
      <c r="AY47" s="2">
        <f t="shared" si="44"/>
        <v>780.53</v>
      </c>
      <c r="AZ47" s="23">
        <f t="shared" si="45"/>
        <v>19.911999999999967</v>
      </c>
      <c r="BA47" s="6">
        <f t="shared" si="46"/>
        <v>0.52999999999997272</v>
      </c>
      <c r="BB47" s="27">
        <f t="shared" si="47"/>
        <v>-8.8000000000033649E-2</v>
      </c>
      <c r="BC47" s="27"/>
      <c r="BD47" s="36"/>
      <c r="BF47">
        <f t="shared" si="4"/>
        <v>38</v>
      </c>
      <c r="BG47">
        <f t="shared" si="5"/>
        <v>-20</v>
      </c>
      <c r="BH47">
        <f t="shared" si="6"/>
        <v>760</v>
      </c>
      <c r="BI47" s="19">
        <v>-759.38499999999999</v>
      </c>
      <c r="BJ47" s="2">
        <f t="shared" si="7"/>
        <v>760.61500000000035</v>
      </c>
      <c r="BK47" s="23">
        <f t="shared" si="8"/>
        <v>-19.914999999999964</v>
      </c>
      <c r="BL47" s="6">
        <f t="shared" si="9"/>
        <v>-0.61500000000035016</v>
      </c>
      <c r="BM47" s="12">
        <f t="shared" si="10"/>
        <v>-8.500000000003638E-2</v>
      </c>
      <c r="BO47" s="20">
        <f t="shared" si="48"/>
        <v>-3.0000000000086402E-2</v>
      </c>
      <c r="BQ47">
        <f t="shared" si="11"/>
        <v>38</v>
      </c>
      <c r="BR47">
        <f t="shared" si="12"/>
        <v>-20</v>
      </c>
      <c r="BS47">
        <f t="shared" si="13"/>
        <v>760</v>
      </c>
      <c r="BT47" s="19">
        <v>-759.46</v>
      </c>
      <c r="BU47" s="2">
        <f t="shared" si="14"/>
        <v>760.53999999999951</v>
      </c>
      <c r="BV47" s="23">
        <f t="shared" si="15"/>
        <v>-19.94500000000005</v>
      </c>
      <c r="BW47" s="6">
        <f t="shared" si="16"/>
        <v>-0.53999999999950887</v>
      </c>
      <c r="BX47" s="12">
        <f t="shared" si="17"/>
        <v>-5.4999999999949978E-2</v>
      </c>
      <c r="BY47" s="12"/>
      <c r="BZ47" s="20">
        <f t="shared" si="49"/>
        <v>-4.4999999999959073E-2</v>
      </c>
      <c r="CB47">
        <f t="shared" si="18"/>
        <v>38</v>
      </c>
      <c r="CC47">
        <f t="shared" si="19"/>
        <v>-20</v>
      </c>
      <c r="CD47">
        <f t="shared" si="20"/>
        <v>760</v>
      </c>
      <c r="CE47" s="19">
        <v>-759.45</v>
      </c>
      <c r="CF47" s="2">
        <f t="shared" si="21"/>
        <v>760.55</v>
      </c>
      <c r="CG47" s="23">
        <f t="shared" si="22"/>
        <v>-19.990000000000009</v>
      </c>
      <c r="CH47" s="6">
        <f t="shared" si="23"/>
        <v>-0.54999999999995453</v>
      </c>
      <c r="CI47" s="12">
        <f t="shared" si="24"/>
        <v>-9.9999999999909051E-3</v>
      </c>
      <c r="CK47" s="20">
        <f t="shared" si="50"/>
        <v>0.10000000000002274</v>
      </c>
      <c r="CM47">
        <f t="shared" si="25"/>
        <v>38</v>
      </c>
      <c r="CN47">
        <f t="shared" si="26"/>
        <v>-20</v>
      </c>
      <c r="CO47">
        <f t="shared" si="27"/>
        <v>760</v>
      </c>
      <c r="CP47" s="19">
        <v>-759.39499999999998</v>
      </c>
      <c r="CQ47" s="2">
        <f t="shared" si="28"/>
        <v>760.60499999999979</v>
      </c>
      <c r="CR47" s="23">
        <f t="shared" si="29"/>
        <v>-19.889999999999986</v>
      </c>
      <c r="CS47" s="6">
        <f t="shared" si="30"/>
        <v>-0.60499999999979082</v>
      </c>
      <c r="CT47" s="12">
        <f t="shared" si="31"/>
        <v>-0.11000000000001364</v>
      </c>
      <c r="CV47" s="20">
        <f t="shared" si="51"/>
        <v>-3.4999999999968168E-2</v>
      </c>
      <c r="CX47">
        <f t="shared" si="32"/>
        <v>38</v>
      </c>
      <c r="CY47">
        <f t="shared" si="33"/>
        <v>-20</v>
      </c>
      <c r="CZ47">
        <f t="shared" si="34"/>
        <v>760</v>
      </c>
      <c r="DA47" s="19">
        <v>-759.43</v>
      </c>
      <c r="DB47" s="2">
        <f t="shared" si="35"/>
        <v>760.5699999999996</v>
      </c>
      <c r="DC47" s="23">
        <f t="shared" si="36"/>
        <v>-19.924999999999955</v>
      </c>
      <c r="DD47" s="6">
        <f t="shared" si="37"/>
        <v>-0.56999999999959527</v>
      </c>
      <c r="DE47" s="12">
        <f t="shared" si="38"/>
        <v>-7.5000000000045475E-2</v>
      </c>
      <c r="DM47" s="2"/>
      <c r="DN47" s="2"/>
      <c r="DO47" s="6"/>
      <c r="DP47" s="12"/>
      <c r="DQ47" s="10"/>
    </row>
    <row r="48" spans="2:121" x14ac:dyDescent="0.45">
      <c r="B48">
        <f t="shared" si="52"/>
        <v>40</v>
      </c>
      <c r="C48">
        <v>20</v>
      </c>
      <c r="D48">
        <f t="shared" si="53"/>
        <v>800</v>
      </c>
      <c r="E48" s="19">
        <v>800.46</v>
      </c>
      <c r="F48" s="23">
        <f t="shared" si="54"/>
        <v>19.925000000000068</v>
      </c>
      <c r="G48" s="6">
        <f t="shared" si="39"/>
        <v>0.46000000000003638</v>
      </c>
      <c r="H48" s="12">
        <f t="shared" si="55"/>
        <v>-7.4999999999931788E-2</v>
      </c>
      <c r="J48" s="20">
        <f t="shared" si="0"/>
        <v>-4.9999999999954525E-3</v>
      </c>
      <c r="K48" s="2"/>
      <c r="L48">
        <f t="shared" si="56"/>
        <v>40</v>
      </c>
      <c r="M48">
        <v>20</v>
      </c>
      <c r="N48">
        <f t="shared" si="57"/>
        <v>800</v>
      </c>
      <c r="O48" s="19">
        <v>800.45</v>
      </c>
      <c r="P48" s="23">
        <f t="shared" si="58"/>
        <v>19.920000000000073</v>
      </c>
      <c r="Q48" s="6">
        <f t="shared" si="40"/>
        <v>0.45000000000004547</v>
      </c>
      <c r="R48" s="27">
        <f t="shared" si="59"/>
        <v>-7.999999999992724E-2</v>
      </c>
      <c r="S48" s="27"/>
      <c r="T48" s="20">
        <f t="shared" si="1"/>
        <v>4.9999999999954525E-3</v>
      </c>
      <c r="U48" s="2"/>
      <c r="V48">
        <f t="shared" si="60"/>
        <v>40</v>
      </c>
      <c r="W48">
        <v>20</v>
      </c>
      <c r="X48">
        <f t="shared" si="61"/>
        <v>800</v>
      </c>
      <c r="Y48" s="19">
        <v>800.46</v>
      </c>
      <c r="Z48" s="23">
        <f t="shared" si="62"/>
        <v>19.925000000000068</v>
      </c>
      <c r="AA48" s="6">
        <f t="shared" si="41"/>
        <v>0.46000000000003638</v>
      </c>
      <c r="AB48" s="27">
        <f t="shared" si="63"/>
        <v>-7.4999999999931788E-2</v>
      </c>
      <c r="AC48" s="27"/>
      <c r="AD48" s="20">
        <f t="shared" si="2"/>
        <v>-4.9999999999954525E-3</v>
      </c>
      <c r="AE48" s="2"/>
      <c r="AF48">
        <f t="shared" si="64"/>
        <v>40</v>
      </c>
      <c r="AG48">
        <v>20</v>
      </c>
      <c r="AH48">
        <f t="shared" si="65"/>
        <v>800</v>
      </c>
      <c r="AI48" s="19">
        <v>800.45</v>
      </c>
      <c r="AJ48" s="23">
        <f t="shared" si="66"/>
        <v>19.920000000000073</v>
      </c>
      <c r="AK48" s="6">
        <f t="shared" si="42"/>
        <v>0.45000000000004547</v>
      </c>
      <c r="AL48" s="27">
        <f t="shared" si="67"/>
        <v>-7.999999999992724E-2</v>
      </c>
      <c r="AM48" s="27"/>
      <c r="AN48" s="20">
        <f t="shared" si="3"/>
        <v>0</v>
      </c>
      <c r="AO48" s="2"/>
      <c r="AP48">
        <f t="shared" si="68"/>
        <v>40</v>
      </c>
      <c r="AQ48">
        <v>20</v>
      </c>
      <c r="AR48">
        <f t="shared" si="69"/>
        <v>800</v>
      </c>
      <c r="AS48" s="19">
        <v>800.44</v>
      </c>
      <c r="AT48" s="23">
        <f t="shared" si="70"/>
        <v>19.920000000000073</v>
      </c>
      <c r="AU48" s="6">
        <f t="shared" si="43"/>
        <v>0.44000000000005457</v>
      </c>
      <c r="AV48" s="27">
        <f t="shared" si="71"/>
        <v>-7.999999999992724E-2</v>
      </c>
      <c r="AW48" s="27"/>
      <c r="AX48" s="27"/>
      <c r="AY48" s="2">
        <f t="shared" si="44"/>
        <v>800.452</v>
      </c>
      <c r="AZ48" s="23">
        <f t="shared" si="45"/>
        <v>19.922000000000072</v>
      </c>
      <c r="BA48" s="6">
        <f t="shared" si="46"/>
        <v>0.45200000000004364</v>
      </c>
      <c r="BB48" s="27">
        <f t="shared" si="47"/>
        <v>-7.7999999999929057E-2</v>
      </c>
      <c r="BC48" s="27"/>
      <c r="BD48" s="36"/>
      <c r="BF48">
        <f t="shared" si="4"/>
        <v>37</v>
      </c>
      <c r="BG48">
        <f t="shared" si="5"/>
        <v>-20</v>
      </c>
      <c r="BH48">
        <f t="shared" si="6"/>
        <v>780</v>
      </c>
      <c r="BI48" s="19">
        <v>-739.47</v>
      </c>
      <c r="BJ48" s="2">
        <f t="shared" si="7"/>
        <v>780.53000000000031</v>
      </c>
      <c r="BK48" s="23">
        <f t="shared" si="8"/>
        <v>-19.865000000000009</v>
      </c>
      <c r="BL48" s="6">
        <f t="shared" si="9"/>
        <v>-0.53000000000031378</v>
      </c>
      <c r="BM48" s="12">
        <f t="shared" si="10"/>
        <v>-0.13499999999999091</v>
      </c>
      <c r="BO48" s="20">
        <f t="shared" si="48"/>
        <v>-3.4999999999968168E-2</v>
      </c>
      <c r="BQ48">
        <f t="shared" si="11"/>
        <v>37</v>
      </c>
      <c r="BR48">
        <f t="shared" si="12"/>
        <v>-20</v>
      </c>
      <c r="BS48">
        <f t="shared" si="13"/>
        <v>780</v>
      </c>
      <c r="BT48" s="19">
        <v>-739.51499999999999</v>
      </c>
      <c r="BU48" s="2">
        <f t="shared" si="14"/>
        <v>780.48499999999956</v>
      </c>
      <c r="BV48" s="23">
        <f t="shared" si="15"/>
        <v>-19.899999999999977</v>
      </c>
      <c r="BW48" s="6">
        <f t="shared" si="16"/>
        <v>-0.4849999999995589</v>
      </c>
      <c r="BX48" s="12">
        <f t="shared" si="17"/>
        <v>-0.10000000000002274</v>
      </c>
      <c r="BY48" s="12"/>
      <c r="BZ48" s="20">
        <f t="shared" si="49"/>
        <v>7.999999999992724E-2</v>
      </c>
      <c r="CB48">
        <f t="shared" si="18"/>
        <v>37</v>
      </c>
      <c r="CC48">
        <f t="shared" si="19"/>
        <v>-20</v>
      </c>
      <c r="CD48">
        <f t="shared" si="20"/>
        <v>780</v>
      </c>
      <c r="CE48" s="19">
        <v>-739.46</v>
      </c>
      <c r="CF48" s="2">
        <f t="shared" si="21"/>
        <v>780.54</v>
      </c>
      <c r="CG48" s="23">
        <f t="shared" si="22"/>
        <v>-19.82000000000005</v>
      </c>
      <c r="CH48" s="6">
        <f t="shared" si="23"/>
        <v>-0.53999999999996362</v>
      </c>
      <c r="CI48" s="12">
        <f t="shared" si="24"/>
        <v>-0.17999999999994998</v>
      </c>
      <c r="CK48" s="20">
        <f t="shared" si="50"/>
        <v>-4.4999999999959073E-2</v>
      </c>
      <c r="CM48">
        <f t="shared" si="25"/>
        <v>37</v>
      </c>
      <c r="CN48">
        <f t="shared" si="26"/>
        <v>-20</v>
      </c>
      <c r="CO48">
        <f t="shared" si="27"/>
        <v>780</v>
      </c>
      <c r="CP48" s="19">
        <v>-739.505</v>
      </c>
      <c r="CQ48" s="2">
        <f t="shared" si="28"/>
        <v>780.49499999999978</v>
      </c>
      <c r="CR48" s="23">
        <f t="shared" si="29"/>
        <v>-19.865000000000009</v>
      </c>
      <c r="CS48" s="6">
        <f t="shared" si="30"/>
        <v>-0.49499999999977717</v>
      </c>
      <c r="CT48" s="12">
        <f t="shared" si="31"/>
        <v>-0.13499999999999091</v>
      </c>
      <c r="CV48" s="20">
        <f t="shared" si="51"/>
        <v>-4.9999999999954525E-2</v>
      </c>
      <c r="CX48">
        <f t="shared" si="32"/>
        <v>37</v>
      </c>
      <c r="CY48">
        <f t="shared" si="33"/>
        <v>-20</v>
      </c>
      <c r="CZ48">
        <f t="shared" si="34"/>
        <v>780</v>
      </c>
      <c r="DA48" s="19">
        <v>-739.505</v>
      </c>
      <c r="DB48" s="2">
        <f t="shared" si="35"/>
        <v>780.49499999999955</v>
      </c>
      <c r="DC48" s="23">
        <f t="shared" si="36"/>
        <v>-19.914999999999964</v>
      </c>
      <c r="DD48" s="6">
        <f t="shared" si="37"/>
        <v>-0.4949999999995498</v>
      </c>
      <c r="DE48" s="12">
        <f t="shared" si="38"/>
        <v>-8.500000000003638E-2</v>
      </c>
      <c r="DM48" s="2"/>
      <c r="DN48" s="2"/>
      <c r="DO48" s="6"/>
      <c r="DP48" s="12"/>
      <c r="DQ48" s="10"/>
    </row>
    <row r="49" spans="2:121" x14ac:dyDescent="0.45">
      <c r="B49">
        <f t="shared" si="52"/>
        <v>41</v>
      </c>
      <c r="C49">
        <v>20</v>
      </c>
      <c r="D49">
        <f t="shared" si="53"/>
        <v>820</v>
      </c>
      <c r="E49" s="19">
        <v>820.47</v>
      </c>
      <c r="F49" s="23">
        <f t="shared" si="54"/>
        <v>20.009999999999991</v>
      </c>
      <c r="G49" s="6">
        <f t="shared" si="39"/>
        <v>0.47000000000002728</v>
      </c>
      <c r="H49" s="12">
        <f t="shared" si="55"/>
        <v>9.9999999999909051E-3</v>
      </c>
      <c r="J49" s="20">
        <f t="shared" si="0"/>
        <v>-9.9999999999909051E-3</v>
      </c>
      <c r="K49" s="2"/>
      <c r="L49">
        <f t="shared" si="56"/>
        <v>41</v>
      </c>
      <c r="M49">
        <v>20</v>
      </c>
      <c r="N49">
        <f t="shared" si="57"/>
        <v>820</v>
      </c>
      <c r="O49" s="19">
        <v>820.45</v>
      </c>
      <c r="P49" s="23">
        <f t="shared" si="58"/>
        <v>20</v>
      </c>
      <c r="Q49" s="6">
        <f t="shared" si="40"/>
        <v>0.45000000000004547</v>
      </c>
      <c r="R49" s="27">
        <f t="shared" si="59"/>
        <v>0</v>
      </c>
      <c r="S49" s="27"/>
      <c r="T49" s="20">
        <f t="shared" si="1"/>
        <v>-4.9999999999954525E-3</v>
      </c>
      <c r="U49" s="2"/>
      <c r="V49">
        <f t="shared" si="60"/>
        <v>41</v>
      </c>
      <c r="W49">
        <v>20</v>
      </c>
      <c r="X49">
        <f t="shared" si="61"/>
        <v>820</v>
      </c>
      <c r="Y49" s="19">
        <v>820.45500000000004</v>
      </c>
      <c r="Z49" s="23">
        <f t="shared" si="62"/>
        <v>19.995000000000005</v>
      </c>
      <c r="AA49" s="6">
        <f t="shared" si="41"/>
        <v>0.45500000000004093</v>
      </c>
      <c r="AB49" s="27">
        <f t="shared" si="63"/>
        <v>-4.9999999999954525E-3</v>
      </c>
      <c r="AC49" s="27"/>
      <c r="AD49" s="20">
        <f t="shared" si="2"/>
        <v>3.999999999996362E-2</v>
      </c>
      <c r="AE49" s="2"/>
      <c r="AF49">
        <f t="shared" si="64"/>
        <v>41</v>
      </c>
      <c r="AG49">
        <v>20</v>
      </c>
      <c r="AH49">
        <f t="shared" si="65"/>
        <v>820</v>
      </c>
      <c r="AI49" s="19">
        <v>820.48500000000001</v>
      </c>
      <c r="AJ49" s="23">
        <f t="shared" si="66"/>
        <v>20.034999999999968</v>
      </c>
      <c r="AK49" s="6">
        <f t="shared" si="42"/>
        <v>0.48500000000001364</v>
      </c>
      <c r="AL49" s="27">
        <f t="shared" si="67"/>
        <v>3.4999999999968168E-2</v>
      </c>
      <c r="AM49" s="27"/>
      <c r="AN49" s="20">
        <f t="shared" si="3"/>
        <v>-2.4999999999977263E-2</v>
      </c>
      <c r="AO49" s="2"/>
      <c r="AP49">
        <f t="shared" si="68"/>
        <v>41</v>
      </c>
      <c r="AQ49">
        <v>20</v>
      </c>
      <c r="AR49">
        <f t="shared" si="69"/>
        <v>820</v>
      </c>
      <c r="AS49" s="19">
        <v>820.45</v>
      </c>
      <c r="AT49" s="23">
        <f t="shared" si="70"/>
        <v>20.009999999999991</v>
      </c>
      <c r="AU49" s="6">
        <f t="shared" si="43"/>
        <v>0.45000000000004547</v>
      </c>
      <c r="AV49" s="27">
        <f t="shared" si="71"/>
        <v>9.9999999999909051E-3</v>
      </c>
      <c r="AW49" s="27"/>
      <c r="AX49" s="27"/>
      <c r="AY49" s="2">
        <f t="shared" si="44"/>
        <v>820.4620000000001</v>
      </c>
      <c r="AZ49" s="23">
        <f t="shared" si="45"/>
        <v>20.009999999999991</v>
      </c>
      <c r="BA49" s="6">
        <f t="shared" si="46"/>
        <v>0.46200000000003455</v>
      </c>
      <c r="BB49" s="27">
        <f t="shared" si="47"/>
        <v>9.9999999999909051E-3</v>
      </c>
      <c r="BC49" s="27"/>
      <c r="BD49" s="36"/>
      <c r="BF49">
        <f t="shared" si="4"/>
        <v>36</v>
      </c>
      <c r="BG49">
        <f t="shared" si="5"/>
        <v>-20</v>
      </c>
      <c r="BH49">
        <f t="shared" si="6"/>
        <v>800</v>
      </c>
      <c r="BI49" s="19">
        <v>-719.60500000000002</v>
      </c>
      <c r="BJ49" s="2">
        <f t="shared" si="7"/>
        <v>800.39500000000032</v>
      </c>
      <c r="BK49" s="23">
        <f t="shared" si="8"/>
        <v>-19.930000000000064</v>
      </c>
      <c r="BL49" s="6">
        <f t="shared" si="9"/>
        <v>-0.39500000000032287</v>
      </c>
      <c r="BM49" s="12">
        <f t="shared" si="10"/>
        <v>-6.9999999999936335E-2</v>
      </c>
      <c r="BO49" s="20">
        <f t="shared" si="48"/>
        <v>3.0000000000086402E-2</v>
      </c>
      <c r="BQ49">
        <f t="shared" si="11"/>
        <v>36</v>
      </c>
      <c r="BR49">
        <f t="shared" si="12"/>
        <v>-20</v>
      </c>
      <c r="BS49">
        <f t="shared" si="13"/>
        <v>800</v>
      </c>
      <c r="BT49" s="19">
        <v>-719.61500000000001</v>
      </c>
      <c r="BU49" s="2">
        <f t="shared" si="14"/>
        <v>800.38499999999954</v>
      </c>
      <c r="BV49" s="23">
        <f t="shared" si="15"/>
        <v>-19.899999999999977</v>
      </c>
      <c r="BW49" s="6">
        <f t="shared" si="16"/>
        <v>-0.38499999999953616</v>
      </c>
      <c r="BX49" s="12">
        <f t="shared" si="17"/>
        <v>-0.10000000000002274</v>
      </c>
      <c r="BY49" s="12"/>
      <c r="BZ49" s="20">
        <f t="shared" si="49"/>
        <v>-8.0000000000040927E-2</v>
      </c>
      <c r="CB49">
        <f t="shared" si="18"/>
        <v>36</v>
      </c>
      <c r="CC49">
        <f t="shared" si="19"/>
        <v>-20</v>
      </c>
      <c r="CD49">
        <f t="shared" si="20"/>
        <v>800</v>
      </c>
      <c r="CE49" s="19">
        <v>-719.64</v>
      </c>
      <c r="CF49" s="2">
        <f t="shared" si="21"/>
        <v>800.36</v>
      </c>
      <c r="CG49" s="23">
        <f t="shared" si="22"/>
        <v>-19.980000000000018</v>
      </c>
      <c r="CH49" s="6">
        <f t="shared" si="23"/>
        <v>-0.36000000000001364</v>
      </c>
      <c r="CI49" s="12">
        <f t="shared" si="24"/>
        <v>-1.999999999998181E-2</v>
      </c>
      <c r="CK49" s="20">
        <f t="shared" si="50"/>
        <v>4.500000000007276E-2</v>
      </c>
      <c r="CM49">
        <f t="shared" si="25"/>
        <v>36</v>
      </c>
      <c r="CN49">
        <f t="shared" si="26"/>
        <v>-20</v>
      </c>
      <c r="CO49">
        <f t="shared" si="27"/>
        <v>800</v>
      </c>
      <c r="CP49" s="19">
        <v>-719.64</v>
      </c>
      <c r="CQ49" s="2">
        <f t="shared" si="28"/>
        <v>800.35999999999979</v>
      </c>
      <c r="CR49" s="23">
        <f t="shared" si="29"/>
        <v>-19.934999999999945</v>
      </c>
      <c r="CS49" s="6">
        <f t="shared" si="30"/>
        <v>-0.35999999999978627</v>
      </c>
      <c r="CT49" s="12">
        <f t="shared" si="31"/>
        <v>-6.500000000005457E-2</v>
      </c>
      <c r="CV49" s="20">
        <f t="shared" si="51"/>
        <v>8.4999999999922693E-2</v>
      </c>
      <c r="CX49">
        <f t="shared" si="32"/>
        <v>36</v>
      </c>
      <c r="CY49">
        <f t="shared" si="33"/>
        <v>-20</v>
      </c>
      <c r="CZ49">
        <f t="shared" si="34"/>
        <v>800</v>
      </c>
      <c r="DA49" s="19">
        <v>-719.59</v>
      </c>
      <c r="DB49" s="2">
        <f t="shared" si="35"/>
        <v>800.40999999999951</v>
      </c>
      <c r="DC49" s="23">
        <f t="shared" si="36"/>
        <v>-19.850000000000023</v>
      </c>
      <c r="DD49" s="6">
        <f t="shared" si="37"/>
        <v>-0.40999999999951342</v>
      </c>
      <c r="DE49" s="12">
        <f t="shared" si="38"/>
        <v>-0.14999999999997726</v>
      </c>
      <c r="DM49" s="2"/>
      <c r="DN49" s="2"/>
      <c r="DO49" s="6"/>
      <c r="DP49" s="12"/>
      <c r="DQ49" s="10"/>
    </row>
    <row r="50" spans="2:121" x14ac:dyDescent="0.45">
      <c r="B50">
        <f t="shared" si="52"/>
        <v>42</v>
      </c>
      <c r="C50">
        <v>20</v>
      </c>
      <c r="D50">
        <f t="shared" si="53"/>
        <v>840</v>
      </c>
      <c r="E50" s="19">
        <v>840.47500000000002</v>
      </c>
      <c r="F50" s="23">
        <f t="shared" si="54"/>
        <v>20.004999999999995</v>
      </c>
      <c r="G50" s="6">
        <f t="shared" si="39"/>
        <v>0.47500000000002274</v>
      </c>
      <c r="H50" s="12">
        <f t="shared" si="55"/>
        <v>4.9999999999954525E-3</v>
      </c>
      <c r="J50" s="20">
        <f t="shared" si="0"/>
        <v>1.999999999998181E-2</v>
      </c>
      <c r="K50" s="2"/>
      <c r="L50">
        <f t="shared" si="56"/>
        <v>42</v>
      </c>
      <c r="M50">
        <v>20</v>
      </c>
      <c r="N50">
        <f t="shared" si="57"/>
        <v>840</v>
      </c>
      <c r="O50" s="19">
        <v>840.47500000000002</v>
      </c>
      <c r="P50" s="23">
        <f t="shared" si="58"/>
        <v>20.024999999999977</v>
      </c>
      <c r="Q50" s="6">
        <f t="shared" si="40"/>
        <v>0.47500000000002274</v>
      </c>
      <c r="R50" s="27">
        <f t="shared" si="59"/>
        <v>2.4999999999977263E-2</v>
      </c>
      <c r="S50" s="27"/>
      <c r="T50" s="20">
        <f t="shared" si="1"/>
        <v>-4.9999999999954525E-3</v>
      </c>
      <c r="U50" s="2"/>
      <c r="V50">
        <f t="shared" si="60"/>
        <v>42</v>
      </c>
      <c r="W50">
        <v>20</v>
      </c>
      <c r="X50">
        <f t="shared" si="61"/>
        <v>840</v>
      </c>
      <c r="Y50" s="19">
        <v>840.47500000000002</v>
      </c>
      <c r="Z50" s="23">
        <f t="shared" si="62"/>
        <v>20.019999999999982</v>
      </c>
      <c r="AA50" s="6">
        <f t="shared" si="41"/>
        <v>0.47500000000002274</v>
      </c>
      <c r="AB50" s="27">
        <f t="shared" si="63"/>
        <v>1.999999999998181E-2</v>
      </c>
      <c r="AC50" s="27"/>
      <c r="AD50" s="20">
        <f t="shared" si="2"/>
        <v>-4.9999999999954525E-2</v>
      </c>
      <c r="AE50" s="2"/>
      <c r="AF50">
        <f t="shared" si="64"/>
        <v>42</v>
      </c>
      <c r="AG50">
        <v>20</v>
      </c>
      <c r="AH50">
        <f t="shared" si="65"/>
        <v>840</v>
      </c>
      <c r="AI50" s="19">
        <v>840.45500000000004</v>
      </c>
      <c r="AJ50" s="23">
        <f t="shared" si="66"/>
        <v>19.970000000000027</v>
      </c>
      <c r="AK50" s="6">
        <f t="shared" si="42"/>
        <v>0.45500000000004093</v>
      </c>
      <c r="AL50" s="27">
        <f t="shared" si="67"/>
        <v>-2.9999999999972715E-2</v>
      </c>
      <c r="AM50" s="27"/>
      <c r="AN50" s="20">
        <f t="shared" si="3"/>
        <v>4.9999999999954525E-2</v>
      </c>
      <c r="AO50" s="2"/>
      <c r="AP50">
        <f t="shared" si="68"/>
        <v>42</v>
      </c>
      <c r="AQ50">
        <v>20</v>
      </c>
      <c r="AR50">
        <f t="shared" si="69"/>
        <v>840</v>
      </c>
      <c r="AS50" s="19">
        <v>840.47</v>
      </c>
      <c r="AT50" s="23">
        <f t="shared" si="70"/>
        <v>20.019999999999982</v>
      </c>
      <c r="AU50" s="6">
        <f t="shared" si="43"/>
        <v>0.47000000000002728</v>
      </c>
      <c r="AV50" s="27">
        <f t="shared" si="71"/>
        <v>1.999999999998181E-2</v>
      </c>
      <c r="AW50" s="27"/>
      <c r="AX50" s="27"/>
      <c r="AY50" s="2">
        <f t="shared" si="44"/>
        <v>840.47</v>
      </c>
      <c r="AZ50" s="23">
        <f t="shared" si="45"/>
        <v>20.007999999999992</v>
      </c>
      <c r="BA50" s="6">
        <f t="shared" si="46"/>
        <v>0.47000000000002728</v>
      </c>
      <c r="BB50" s="27">
        <f t="shared" si="47"/>
        <v>7.9999999999927247E-3</v>
      </c>
      <c r="BC50" s="27"/>
      <c r="BD50" s="36"/>
      <c r="BF50">
        <f t="shared" si="4"/>
        <v>35</v>
      </c>
      <c r="BG50">
        <f t="shared" si="5"/>
        <v>-20</v>
      </c>
      <c r="BH50">
        <f t="shared" si="6"/>
        <v>820</v>
      </c>
      <c r="BI50" s="19">
        <v>-699.67499999999995</v>
      </c>
      <c r="BJ50" s="2">
        <f t="shared" si="7"/>
        <v>820.32500000000039</v>
      </c>
      <c r="BK50" s="23">
        <f>BI50-BI51</f>
        <v>-19.9849999999999</v>
      </c>
      <c r="BL50" s="6">
        <f t="shared" si="9"/>
        <v>-0.32500000000038654</v>
      </c>
      <c r="BM50" s="12">
        <f t="shared" si="10"/>
        <v>-1.5000000000100044E-2</v>
      </c>
      <c r="BO50" s="20">
        <f t="shared" si="48"/>
        <v>-1.0000000000104592E-2</v>
      </c>
      <c r="BQ50">
        <f t="shared" si="11"/>
        <v>35</v>
      </c>
      <c r="BR50">
        <f t="shared" si="12"/>
        <v>-20</v>
      </c>
      <c r="BS50">
        <f t="shared" si="13"/>
        <v>820</v>
      </c>
      <c r="BT50" s="19">
        <v>-699.71500000000003</v>
      </c>
      <c r="BU50" s="2">
        <f t="shared" si="14"/>
        <v>820.28499999999951</v>
      </c>
      <c r="BV50" s="23">
        <f>BT50-BT51</f>
        <v>-19.995000000000005</v>
      </c>
      <c r="BW50" s="6">
        <f t="shared" si="16"/>
        <v>-0.28499999999951342</v>
      </c>
      <c r="BX50" s="12">
        <f t="shared" si="17"/>
        <v>-4.9999999999954525E-3</v>
      </c>
      <c r="BY50" s="12"/>
      <c r="BZ50" s="20">
        <f t="shared" si="49"/>
        <v>6.0000000000059117E-2</v>
      </c>
      <c r="CB50">
        <f t="shared" si="18"/>
        <v>35</v>
      </c>
      <c r="CC50">
        <f t="shared" si="19"/>
        <v>-20</v>
      </c>
      <c r="CD50">
        <f t="shared" si="20"/>
        <v>820</v>
      </c>
      <c r="CE50" s="19">
        <v>-699.66</v>
      </c>
      <c r="CF50" s="2">
        <f t="shared" si="21"/>
        <v>820.34</v>
      </c>
      <c r="CG50" s="23">
        <f>CE50-CE51</f>
        <v>-19.934999999999945</v>
      </c>
      <c r="CH50" s="6">
        <f t="shared" si="23"/>
        <v>-0.34000000000003183</v>
      </c>
      <c r="CI50" s="12">
        <f t="shared" si="24"/>
        <v>-6.500000000005457E-2</v>
      </c>
      <c r="CK50" s="20">
        <f t="shared" si="50"/>
        <v>-4.500000000007276E-2</v>
      </c>
      <c r="CM50">
        <f t="shared" si="25"/>
        <v>35</v>
      </c>
      <c r="CN50">
        <f t="shared" si="26"/>
        <v>-20</v>
      </c>
      <c r="CO50">
        <f t="shared" si="27"/>
        <v>820</v>
      </c>
      <c r="CP50" s="19">
        <v>-699.70500000000004</v>
      </c>
      <c r="CQ50" s="2">
        <f t="shared" si="28"/>
        <v>820.29499999999973</v>
      </c>
      <c r="CR50" s="23">
        <f>CP50-CP51</f>
        <v>-19.980000000000018</v>
      </c>
      <c r="CS50" s="6">
        <f t="shared" si="30"/>
        <v>-0.2949999999997317</v>
      </c>
      <c r="CT50" s="12">
        <f t="shared" si="31"/>
        <v>-1.999999999998181E-2</v>
      </c>
      <c r="CV50" s="20">
        <f t="shared" si="51"/>
        <v>-2.4999999999977263E-2</v>
      </c>
      <c r="CX50">
        <f t="shared" si="32"/>
        <v>35</v>
      </c>
      <c r="CY50">
        <f t="shared" si="33"/>
        <v>-20</v>
      </c>
      <c r="CZ50">
        <f t="shared" si="34"/>
        <v>820</v>
      </c>
      <c r="DA50" s="19">
        <v>-699.74</v>
      </c>
      <c r="DB50" s="2">
        <f t="shared" si="35"/>
        <v>820.25999999999954</v>
      </c>
      <c r="DC50" s="23">
        <f>DA50-DA51</f>
        <v>-20.004999999999995</v>
      </c>
      <c r="DD50" s="6">
        <f t="shared" si="37"/>
        <v>-0.25999999999953616</v>
      </c>
      <c r="DE50" s="12">
        <f t="shared" si="38"/>
        <v>4.9999999999954525E-3</v>
      </c>
    </row>
    <row r="51" spans="2:121" x14ac:dyDescent="0.45">
      <c r="B51">
        <f t="shared" si="52"/>
        <v>43</v>
      </c>
      <c r="C51">
        <v>20</v>
      </c>
      <c r="D51">
        <f t="shared" si="53"/>
        <v>860</v>
      </c>
      <c r="E51" s="19">
        <v>860.46</v>
      </c>
      <c r="F51" s="23">
        <f t="shared" si="54"/>
        <v>19.985000000000014</v>
      </c>
      <c r="G51" s="6">
        <f t="shared" si="39"/>
        <v>0.46000000000003638</v>
      </c>
      <c r="H51" s="12">
        <f t="shared" si="55"/>
        <v>-1.4999999999986358E-2</v>
      </c>
      <c r="J51" s="20">
        <f t="shared" si="0"/>
        <v>-1.999999999998181E-2</v>
      </c>
      <c r="K51" s="2"/>
      <c r="L51">
        <f t="shared" si="56"/>
        <v>43</v>
      </c>
      <c r="M51">
        <v>20</v>
      </c>
      <c r="N51">
        <f t="shared" si="57"/>
        <v>860</v>
      </c>
      <c r="O51" s="19">
        <v>860.44</v>
      </c>
      <c r="P51" s="23">
        <f t="shared" si="58"/>
        <v>19.965000000000032</v>
      </c>
      <c r="Q51" s="6">
        <f t="shared" si="40"/>
        <v>0.44000000000005457</v>
      </c>
      <c r="R51" s="27">
        <f t="shared" si="59"/>
        <v>-3.4999999999968168E-2</v>
      </c>
      <c r="S51" s="27"/>
      <c r="T51" s="20">
        <f t="shared" si="1"/>
        <v>0</v>
      </c>
      <c r="U51" s="2"/>
      <c r="V51">
        <f t="shared" si="60"/>
        <v>43</v>
      </c>
      <c r="W51">
        <v>20</v>
      </c>
      <c r="X51">
        <f t="shared" si="61"/>
        <v>860</v>
      </c>
      <c r="Y51" s="19">
        <v>860.44</v>
      </c>
      <c r="Z51" s="23">
        <f t="shared" si="62"/>
        <v>19.965000000000032</v>
      </c>
      <c r="AA51" s="6">
        <f t="shared" si="41"/>
        <v>0.44000000000005457</v>
      </c>
      <c r="AB51" s="27">
        <f t="shared" si="63"/>
        <v>-3.4999999999968168E-2</v>
      </c>
      <c r="AC51" s="27"/>
      <c r="AD51" s="20">
        <f t="shared" si="2"/>
        <v>4.9999999999954525E-2</v>
      </c>
      <c r="AE51" s="2"/>
      <c r="AF51">
        <f t="shared" si="64"/>
        <v>43</v>
      </c>
      <c r="AG51">
        <v>20</v>
      </c>
      <c r="AH51">
        <f t="shared" si="65"/>
        <v>860</v>
      </c>
      <c r="AI51" s="19">
        <v>860.47</v>
      </c>
      <c r="AJ51" s="23">
        <f t="shared" si="66"/>
        <v>20.014999999999986</v>
      </c>
      <c r="AK51" s="6">
        <f t="shared" si="42"/>
        <v>0.47000000000002728</v>
      </c>
      <c r="AL51" s="27">
        <f t="shared" si="67"/>
        <v>1.4999999999986358E-2</v>
      </c>
      <c r="AM51" s="27"/>
      <c r="AN51" s="20">
        <f t="shared" si="3"/>
        <v>-3.4999999999968168E-2</v>
      </c>
      <c r="AO51" s="2"/>
      <c r="AP51">
        <f t="shared" si="68"/>
        <v>43</v>
      </c>
      <c r="AQ51">
        <v>20</v>
      </c>
      <c r="AR51">
        <f t="shared" si="69"/>
        <v>860</v>
      </c>
      <c r="AS51" s="19">
        <v>860.45</v>
      </c>
      <c r="AT51" s="23">
        <f t="shared" si="70"/>
        <v>19.980000000000018</v>
      </c>
      <c r="AU51" s="6">
        <f t="shared" si="43"/>
        <v>0.45000000000004547</v>
      </c>
      <c r="AV51" s="27">
        <f t="shared" si="71"/>
        <v>-1.999999999998181E-2</v>
      </c>
      <c r="AW51" s="27"/>
      <c r="AX51" s="27"/>
      <c r="AY51" s="2">
        <f t="shared" si="44"/>
        <v>860.452</v>
      </c>
      <c r="AZ51" s="23">
        <f t="shared" si="45"/>
        <v>19.982000000000017</v>
      </c>
      <c r="BA51" s="6">
        <f t="shared" si="46"/>
        <v>0.45200000000004364</v>
      </c>
      <c r="BB51" s="27">
        <f t="shared" si="47"/>
        <v>-1.799999999998363E-2</v>
      </c>
      <c r="BC51" s="27"/>
      <c r="BD51" s="36"/>
      <c r="BF51">
        <f t="shared" si="4"/>
        <v>34</v>
      </c>
      <c r="BG51">
        <f t="shared" si="5"/>
        <v>-20</v>
      </c>
      <c r="BH51">
        <f t="shared" si="6"/>
        <v>840</v>
      </c>
      <c r="BI51" s="19">
        <v>-679.69</v>
      </c>
      <c r="BJ51" s="2">
        <f t="shared" si="7"/>
        <v>840.31000000000029</v>
      </c>
      <c r="BK51" s="23">
        <f>BI51-BI52</f>
        <v>-20.005000000000109</v>
      </c>
      <c r="BL51" s="6">
        <f t="shared" si="9"/>
        <v>-0.31000000000028649</v>
      </c>
      <c r="BM51" s="12">
        <f t="shared" si="10"/>
        <v>5.0000000001091394E-3</v>
      </c>
      <c r="BO51" s="20">
        <f t="shared" si="48"/>
        <v>-4.9999999998817657E-3</v>
      </c>
      <c r="BQ51">
        <f t="shared" si="11"/>
        <v>34</v>
      </c>
      <c r="BR51">
        <f t="shared" si="12"/>
        <v>-20</v>
      </c>
      <c r="BS51">
        <f t="shared" si="13"/>
        <v>840</v>
      </c>
      <c r="BT51" s="19">
        <v>-679.72</v>
      </c>
      <c r="BU51" s="2">
        <f t="shared" si="14"/>
        <v>840.27999999999952</v>
      </c>
      <c r="BV51" s="23">
        <f>BT51-BT52</f>
        <v>-20.009999999999991</v>
      </c>
      <c r="BW51" s="6">
        <f t="shared" si="16"/>
        <v>-0.27999999999951797</v>
      </c>
      <c r="BX51" s="12">
        <f t="shared" si="17"/>
        <v>9.9999999999909051E-3</v>
      </c>
      <c r="BY51" s="12"/>
      <c r="BZ51" s="20">
        <f t="shared" si="49"/>
        <v>-9.9999999999909051E-3</v>
      </c>
      <c r="CB51">
        <f t="shared" si="18"/>
        <v>34</v>
      </c>
      <c r="CC51">
        <f t="shared" si="19"/>
        <v>-20</v>
      </c>
      <c r="CD51">
        <f t="shared" si="20"/>
        <v>840</v>
      </c>
      <c r="CE51" s="19">
        <v>-679.72500000000002</v>
      </c>
      <c r="CF51" s="2">
        <f t="shared" si="21"/>
        <v>840.27499999999998</v>
      </c>
      <c r="CG51" s="23">
        <f>CE51-CE52</f>
        <v>-20.019999999999982</v>
      </c>
      <c r="CH51" s="6">
        <f t="shared" si="23"/>
        <v>-0.27499999999997726</v>
      </c>
      <c r="CI51" s="12">
        <f t="shared" si="24"/>
        <v>1.999999999998181E-2</v>
      </c>
      <c r="CK51" s="20">
        <f t="shared" si="50"/>
        <v>4.9999999999954525E-3</v>
      </c>
      <c r="CM51">
        <f t="shared" si="25"/>
        <v>34</v>
      </c>
      <c r="CN51">
        <f t="shared" si="26"/>
        <v>-20</v>
      </c>
      <c r="CO51">
        <f t="shared" si="27"/>
        <v>840</v>
      </c>
      <c r="CP51" s="19">
        <v>-679.72500000000002</v>
      </c>
      <c r="CQ51" s="2">
        <f t="shared" si="28"/>
        <v>840.27499999999975</v>
      </c>
      <c r="CR51" s="23">
        <f>CP51-CP52</f>
        <v>-20.014999999999986</v>
      </c>
      <c r="CS51" s="6">
        <f t="shared" si="30"/>
        <v>-0.27499999999974989</v>
      </c>
      <c r="CT51" s="12">
        <f t="shared" si="31"/>
        <v>1.4999999999986358E-2</v>
      </c>
      <c r="CV51" s="20">
        <f t="shared" si="51"/>
        <v>-1.4999999999986358E-2</v>
      </c>
      <c r="CX51">
        <f t="shared" si="32"/>
        <v>34</v>
      </c>
      <c r="CY51">
        <f t="shared" si="33"/>
        <v>-20</v>
      </c>
      <c r="CZ51">
        <f t="shared" si="34"/>
        <v>840</v>
      </c>
      <c r="DA51" s="19">
        <v>-679.73500000000001</v>
      </c>
      <c r="DB51" s="2">
        <f t="shared" si="35"/>
        <v>840.26499999999953</v>
      </c>
      <c r="DC51" s="23">
        <f>DA51-DA52</f>
        <v>-20.029999999999973</v>
      </c>
      <c r="DD51" s="6">
        <f t="shared" si="37"/>
        <v>-0.26499999999953161</v>
      </c>
      <c r="DE51" s="12">
        <f t="shared" si="38"/>
        <v>2.9999999999972715E-2</v>
      </c>
    </row>
    <row r="52" spans="2:121" x14ac:dyDescent="0.45">
      <c r="B52">
        <f t="shared" si="52"/>
        <v>44</v>
      </c>
      <c r="C52">
        <v>20</v>
      </c>
      <c r="D52">
        <f t="shared" si="53"/>
        <v>880</v>
      </c>
      <c r="E52" s="19">
        <v>880.46</v>
      </c>
      <c r="F52" s="23">
        <f t="shared" si="54"/>
        <v>20</v>
      </c>
      <c r="G52" s="6">
        <f t="shared" si="39"/>
        <v>0.46000000000003638</v>
      </c>
      <c r="H52" s="12">
        <f t="shared" si="55"/>
        <v>0</v>
      </c>
      <c r="J52" s="20">
        <f t="shared" si="0"/>
        <v>1.4999999999986358E-2</v>
      </c>
      <c r="K52" s="2"/>
      <c r="L52">
        <f t="shared" si="56"/>
        <v>44</v>
      </c>
      <c r="M52">
        <v>20</v>
      </c>
      <c r="N52">
        <f t="shared" si="57"/>
        <v>880</v>
      </c>
      <c r="O52" s="19">
        <v>880.45500000000004</v>
      </c>
      <c r="P52" s="23">
        <f t="shared" si="58"/>
        <v>20.014999999999986</v>
      </c>
      <c r="Q52" s="6">
        <f t="shared" si="40"/>
        <v>0.45500000000004093</v>
      </c>
      <c r="R52" s="27">
        <f t="shared" si="59"/>
        <v>1.4999999999986358E-2</v>
      </c>
      <c r="S52" s="27"/>
      <c r="T52" s="20">
        <f t="shared" si="1"/>
        <v>9.9999999999909051E-3</v>
      </c>
      <c r="U52" s="2"/>
      <c r="V52">
        <f t="shared" si="60"/>
        <v>44</v>
      </c>
      <c r="W52">
        <v>20</v>
      </c>
      <c r="X52">
        <f t="shared" si="61"/>
        <v>880</v>
      </c>
      <c r="Y52" s="19">
        <v>880.46500000000003</v>
      </c>
      <c r="Z52" s="23">
        <f t="shared" si="62"/>
        <v>20.024999999999977</v>
      </c>
      <c r="AA52" s="6">
        <f t="shared" si="41"/>
        <v>0.46500000000003183</v>
      </c>
      <c r="AB52" s="27">
        <f t="shared" si="63"/>
        <v>2.4999999999977263E-2</v>
      </c>
      <c r="AC52" s="27"/>
      <c r="AD52" s="20">
        <f t="shared" si="2"/>
        <v>1.999999999998181E-2</v>
      </c>
      <c r="AE52" s="2"/>
      <c r="AF52">
        <f t="shared" si="64"/>
        <v>44</v>
      </c>
      <c r="AG52">
        <v>20</v>
      </c>
      <c r="AH52">
        <f t="shared" si="65"/>
        <v>880</v>
      </c>
      <c r="AI52" s="19">
        <v>880.51499999999999</v>
      </c>
      <c r="AJ52" s="23">
        <f t="shared" si="66"/>
        <v>20.044999999999959</v>
      </c>
      <c r="AK52" s="6">
        <f t="shared" si="42"/>
        <v>0.51499999999998636</v>
      </c>
      <c r="AL52" s="27">
        <f t="shared" si="67"/>
        <v>4.4999999999959073E-2</v>
      </c>
      <c r="AM52" s="27"/>
      <c r="AN52" s="20">
        <f t="shared" si="3"/>
        <v>9.9999999999909051E-3</v>
      </c>
      <c r="AO52" s="2"/>
      <c r="AP52">
        <f t="shared" si="68"/>
        <v>44</v>
      </c>
      <c r="AQ52">
        <v>20</v>
      </c>
      <c r="AR52">
        <f t="shared" si="69"/>
        <v>880</v>
      </c>
      <c r="AS52" s="19">
        <v>880.505</v>
      </c>
      <c r="AT52" s="23">
        <f t="shared" si="70"/>
        <v>20.05499999999995</v>
      </c>
      <c r="AU52" s="6">
        <f t="shared" si="43"/>
        <v>0.50499999999999545</v>
      </c>
      <c r="AV52" s="27">
        <f t="shared" si="71"/>
        <v>5.4999999999949978E-2</v>
      </c>
      <c r="AW52" s="27"/>
      <c r="AX52" s="27"/>
      <c r="AY52" s="2">
        <f t="shared" si="44"/>
        <v>880.4799999999999</v>
      </c>
      <c r="AZ52" s="23">
        <f t="shared" si="45"/>
        <v>20.027999999999974</v>
      </c>
      <c r="BA52" s="6">
        <f t="shared" si="46"/>
        <v>0.48000000000001819</v>
      </c>
      <c r="BB52" s="27">
        <f t="shared" si="47"/>
        <v>2.7999999999974535E-2</v>
      </c>
      <c r="BC52" s="27"/>
      <c r="BD52" s="36"/>
      <c r="BF52">
        <f t="shared" si="4"/>
        <v>33</v>
      </c>
      <c r="BG52">
        <f t="shared" si="5"/>
        <v>-20</v>
      </c>
      <c r="BH52">
        <f t="shared" si="6"/>
        <v>860</v>
      </c>
      <c r="BI52" s="19">
        <v>-659.68499999999995</v>
      </c>
      <c r="BJ52" s="2">
        <f t="shared" si="7"/>
        <v>860.3150000000004</v>
      </c>
      <c r="BK52" s="23">
        <f t="shared" si="8"/>
        <v>-20.009999999999991</v>
      </c>
      <c r="BL52" s="6">
        <f t="shared" si="9"/>
        <v>-0.31500000000039563</v>
      </c>
      <c r="BM52" s="12">
        <f t="shared" si="10"/>
        <v>9.9999999999909051E-3</v>
      </c>
      <c r="BO52" s="20">
        <f t="shared" si="48"/>
        <v>4.9999999999954525E-3</v>
      </c>
      <c r="BQ52">
        <f t="shared" si="11"/>
        <v>33</v>
      </c>
      <c r="BR52">
        <f t="shared" si="12"/>
        <v>-20</v>
      </c>
      <c r="BS52">
        <f t="shared" si="13"/>
        <v>860</v>
      </c>
      <c r="BT52" s="19">
        <v>-659.71</v>
      </c>
      <c r="BU52" s="2">
        <f t="shared" si="14"/>
        <v>860.28999999999951</v>
      </c>
      <c r="BV52" s="23">
        <f t="shared" ref="BV52:BV82" si="72">BT52-BT53</f>
        <v>-20.004999999999995</v>
      </c>
      <c r="BW52" s="6">
        <f t="shared" si="16"/>
        <v>-0.28999999999950887</v>
      </c>
      <c r="BX52" s="12">
        <f t="shared" si="17"/>
        <v>4.9999999999954525E-3</v>
      </c>
      <c r="BY52" s="12"/>
      <c r="BZ52" s="20">
        <f t="shared" si="49"/>
        <v>4.9999999999954525E-3</v>
      </c>
      <c r="CB52">
        <f t="shared" si="18"/>
        <v>33</v>
      </c>
      <c r="CC52">
        <f t="shared" si="19"/>
        <v>-20</v>
      </c>
      <c r="CD52">
        <f t="shared" si="20"/>
        <v>860</v>
      </c>
      <c r="CE52" s="19">
        <v>-659.70500000000004</v>
      </c>
      <c r="CF52" s="2">
        <f t="shared" si="21"/>
        <v>860.29499999999996</v>
      </c>
      <c r="CG52" s="23">
        <f t="shared" ref="CG52:CG82" si="73">CE52-CE53</f>
        <v>-20</v>
      </c>
      <c r="CH52" s="6">
        <f t="shared" si="23"/>
        <v>-0.29499999999995907</v>
      </c>
      <c r="CI52" s="12">
        <f t="shared" si="24"/>
        <v>0</v>
      </c>
      <c r="CK52" s="20">
        <f t="shared" si="50"/>
        <v>-4.9999999999954525E-3</v>
      </c>
      <c r="CM52">
        <f t="shared" si="25"/>
        <v>33</v>
      </c>
      <c r="CN52">
        <f t="shared" si="26"/>
        <v>-20</v>
      </c>
      <c r="CO52">
        <f t="shared" si="27"/>
        <v>860</v>
      </c>
      <c r="CP52" s="19">
        <v>-659.71</v>
      </c>
      <c r="CQ52" s="2">
        <f t="shared" si="28"/>
        <v>860.28999999999974</v>
      </c>
      <c r="CR52" s="23">
        <f t="shared" ref="CR52:CR82" si="74">CP52-CP53</f>
        <v>-20.004999999999995</v>
      </c>
      <c r="CS52" s="6">
        <f t="shared" si="30"/>
        <v>-0.28999999999973625</v>
      </c>
      <c r="CT52" s="12">
        <f t="shared" si="31"/>
        <v>4.9999999999954525E-3</v>
      </c>
      <c r="CV52" s="20">
        <f t="shared" si="51"/>
        <v>1.4999999999986358E-2</v>
      </c>
      <c r="CX52">
        <f t="shared" si="32"/>
        <v>33</v>
      </c>
      <c r="CY52">
        <f t="shared" si="33"/>
        <v>-20</v>
      </c>
      <c r="CZ52">
        <f t="shared" si="34"/>
        <v>860</v>
      </c>
      <c r="DA52" s="19">
        <v>-659.70500000000004</v>
      </c>
      <c r="DB52" s="2">
        <f t="shared" si="35"/>
        <v>860.2949999999995</v>
      </c>
      <c r="DC52" s="23">
        <f t="shared" ref="DC52:DC82" si="75">DA52-DA53</f>
        <v>-19.990000000000009</v>
      </c>
      <c r="DD52" s="6">
        <f t="shared" si="37"/>
        <v>-0.29499999999950433</v>
      </c>
      <c r="DE52" s="12">
        <f t="shared" si="38"/>
        <v>-9.9999999999909051E-3</v>
      </c>
      <c r="DM52" s="2"/>
      <c r="DN52" s="2"/>
      <c r="DO52" s="6"/>
      <c r="DP52" s="12"/>
      <c r="DQ52" s="10"/>
    </row>
    <row r="53" spans="2:121" x14ac:dyDescent="0.45">
      <c r="B53">
        <f t="shared" si="52"/>
        <v>45</v>
      </c>
      <c r="C53">
        <v>20</v>
      </c>
      <c r="D53">
        <f t="shared" si="53"/>
        <v>900</v>
      </c>
      <c r="E53" s="19">
        <v>900.505</v>
      </c>
      <c r="F53" s="23">
        <f t="shared" si="54"/>
        <v>20.044999999999959</v>
      </c>
      <c r="G53" s="6">
        <f t="shared" si="39"/>
        <v>0.50499999999999545</v>
      </c>
      <c r="H53" s="12">
        <f t="shared" si="55"/>
        <v>4.4999999999959073E-2</v>
      </c>
      <c r="J53" s="20">
        <f t="shared" si="0"/>
        <v>-9.9999999999909051E-3</v>
      </c>
      <c r="K53" s="2"/>
      <c r="L53">
        <f t="shared" si="56"/>
        <v>45</v>
      </c>
      <c r="M53">
        <v>20</v>
      </c>
      <c r="N53">
        <f t="shared" si="57"/>
        <v>900</v>
      </c>
      <c r="O53" s="19">
        <v>900.49</v>
      </c>
      <c r="P53" s="23">
        <f t="shared" si="58"/>
        <v>20.034999999999968</v>
      </c>
      <c r="Q53" s="6">
        <f t="shared" si="40"/>
        <v>0.49000000000000909</v>
      </c>
      <c r="R53" s="27">
        <f t="shared" si="59"/>
        <v>3.4999999999968168E-2</v>
      </c>
      <c r="S53" s="27"/>
      <c r="T53" s="20">
        <f t="shared" si="1"/>
        <v>0</v>
      </c>
      <c r="U53" s="2"/>
      <c r="V53">
        <f t="shared" si="60"/>
        <v>45</v>
      </c>
      <c r="W53">
        <v>20</v>
      </c>
      <c r="X53">
        <f t="shared" si="61"/>
        <v>900</v>
      </c>
      <c r="Y53" s="19">
        <v>900.5</v>
      </c>
      <c r="Z53" s="23">
        <f t="shared" si="62"/>
        <v>20.034999999999968</v>
      </c>
      <c r="AA53" s="6">
        <f t="shared" si="41"/>
        <v>0.5</v>
      </c>
      <c r="AB53" s="27">
        <f t="shared" si="63"/>
        <v>3.4999999999968168E-2</v>
      </c>
      <c r="AC53" s="27"/>
      <c r="AD53" s="20">
        <f t="shared" si="2"/>
        <v>-2.4999999999977263E-2</v>
      </c>
      <c r="AE53" s="2"/>
      <c r="AF53">
        <f t="shared" si="64"/>
        <v>45</v>
      </c>
      <c r="AG53">
        <v>20</v>
      </c>
      <c r="AH53">
        <f t="shared" si="65"/>
        <v>900</v>
      </c>
      <c r="AI53" s="19">
        <v>900.52499999999998</v>
      </c>
      <c r="AJ53" s="23">
        <f t="shared" si="66"/>
        <v>20.009999999999991</v>
      </c>
      <c r="AK53" s="6">
        <f t="shared" si="42"/>
        <v>0.52499999999997726</v>
      </c>
      <c r="AL53" s="27">
        <f t="shared" si="67"/>
        <v>9.9999999999909051E-3</v>
      </c>
      <c r="AM53" s="27"/>
      <c r="AN53" s="20">
        <f t="shared" si="3"/>
        <v>-4.9999999999954525E-3</v>
      </c>
      <c r="AO53" s="2"/>
      <c r="AP53">
        <f t="shared" si="68"/>
        <v>45</v>
      </c>
      <c r="AQ53">
        <v>20</v>
      </c>
      <c r="AR53">
        <f t="shared" si="69"/>
        <v>900</v>
      </c>
      <c r="AS53" s="19">
        <v>900.51</v>
      </c>
      <c r="AT53" s="23">
        <f t="shared" si="70"/>
        <v>20.004999999999995</v>
      </c>
      <c r="AU53" s="6">
        <f t="shared" si="43"/>
        <v>0.50999999999999091</v>
      </c>
      <c r="AV53" s="27">
        <f t="shared" si="71"/>
        <v>4.9999999999954525E-3</v>
      </c>
      <c r="AW53" s="27"/>
      <c r="AX53" s="27"/>
      <c r="AY53" s="2">
        <f t="shared" si="44"/>
        <v>900.50599999999997</v>
      </c>
      <c r="AZ53" s="23">
        <f t="shared" si="45"/>
        <v>20.025999999999975</v>
      </c>
      <c r="BA53" s="6">
        <f t="shared" si="46"/>
        <v>0.50599999999999457</v>
      </c>
      <c r="BB53" s="27">
        <f t="shared" si="47"/>
        <v>2.5999999999976355E-2</v>
      </c>
      <c r="BC53" s="27"/>
      <c r="BD53" s="36"/>
      <c r="BF53">
        <f t="shared" si="4"/>
        <v>32</v>
      </c>
      <c r="BG53">
        <f t="shared" si="5"/>
        <v>-20</v>
      </c>
      <c r="BH53">
        <f t="shared" si="6"/>
        <v>880</v>
      </c>
      <c r="BI53" s="19">
        <v>-639.67499999999995</v>
      </c>
      <c r="BJ53" s="2">
        <f t="shared" si="7"/>
        <v>880.32500000000039</v>
      </c>
      <c r="BK53" s="23">
        <f t="shared" si="8"/>
        <v>-20.024999999999977</v>
      </c>
      <c r="BL53" s="6">
        <f t="shared" si="9"/>
        <v>-0.32500000000038654</v>
      </c>
      <c r="BM53" s="12">
        <f t="shared" si="10"/>
        <v>2.4999999999977263E-2</v>
      </c>
      <c r="BO53" s="20">
        <f t="shared" si="48"/>
        <v>3.999999999996362E-2</v>
      </c>
      <c r="BQ53">
        <f t="shared" si="11"/>
        <v>32</v>
      </c>
      <c r="BR53">
        <f t="shared" si="12"/>
        <v>-20</v>
      </c>
      <c r="BS53">
        <f t="shared" si="13"/>
        <v>880</v>
      </c>
      <c r="BT53" s="19">
        <v>-639.70500000000004</v>
      </c>
      <c r="BU53" s="2">
        <f t="shared" si="14"/>
        <v>880.2949999999995</v>
      </c>
      <c r="BV53" s="23">
        <f t="shared" si="72"/>
        <v>-19.985000000000014</v>
      </c>
      <c r="BW53" s="6">
        <f t="shared" si="16"/>
        <v>-0.29499999999950433</v>
      </c>
      <c r="BX53" s="12">
        <f t="shared" si="17"/>
        <v>-1.4999999999986358E-2</v>
      </c>
      <c r="BY53" s="12"/>
      <c r="BZ53" s="20">
        <f t="shared" si="49"/>
        <v>-7.5000000000045475E-2</v>
      </c>
      <c r="CB53">
        <f t="shared" si="18"/>
        <v>32</v>
      </c>
      <c r="CC53">
        <f t="shared" si="19"/>
        <v>-20</v>
      </c>
      <c r="CD53">
        <f t="shared" si="20"/>
        <v>880</v>
      </c>
      <c r="CE53" s="19">
        <v>-639.70500000000004</v>
      </c>
      <c r="CF53" s="2">
        <f t="shared" si="21"/>
        <v>880.29499999999996</v>
      </c>
      <c r="CG53" s="23">
        <f t="shared" si="73"/>
        <v>-20.060000000000059</v>
      </c>
      <c r="CH53" s="6">
        <f t="shared" si="23"/>
        <v>-0.29499999999995907</v>
      </c>
      <c r="CI53" s="12">
        <f t="shared" si="24"/>
        <v>6.0000000000059117E-2</v>
      </c>
      <c r="CK53" s="20">
        <f t="shared" si="50"/>
        <v>-4.9999999999954525E-3</v>
      </c>
      <c r="CM53">
        <f t="shared" si="25"/>
        <v>32</v>
      </c>
      <c r="CN53">
        <f t="shared" si="26"/>
        <v>-20</v>
      </c>
      <c r="CO53">
        <f t="shared" si="27"/>
        <v>880</v>
      </c>
      <c r="CP53" s="19">
        <v>-639.70500000000004</v>
      </c>
      <c r="CQ53" s="2">
        <f t="shared" si="28"/>
        <v>880.29499999999973</v>
      </c>
      <c r="CR53" s="23">
        <f t="shared" si="74"/>
        <v>-20.065000000000055</v>
      </c>
      <c r="CS53" s="6">
        <f t="shared" si="30"/>
        <v>-0.2949999999997317</v>
      </c>
      <c r="CT53" s="12">
        <f t="shared" si="31"/>
        <v>6.500000000005457E-2</v>
      </c>
      <c r="CV53" s="20">
        <f t="shared" si="51"/>
        <v>4.0000000000077307E-2</v>
      </c>
      <c r="CX53">
        <f t="shared" si="32"/>
        <v>32</v>
      </c>
      <c r="CY53">
        <f t="shared" si="33"/>
        <v>-20</v>
      </c>
      <c r="CZ53">
        <f t="shared" si="34"/>
        <v>880</v>
      </c>
      <c r="DA53" s="19">
        <v>-639.71500000000003</v>
      </c>
      <c r="DB53" s="2">
        <f t="shared" si="35"/>
        <v>880.28499999999951</v>
      </c>
      <c r="DC53" s="23">
        <f t="shared" si="75"/>
        <v>-20.024999999999977</v>
      </c>
      <c r="DD53" s="6">
        <f t="shared" si="37"/>
        <v>-0.28499999999951342</v>
      </c>
      <c r="DE53" s="12">
        <f t="shared" si="38"/>
        <v>2.4999999999977263E-2</v>
      </c>
      <c r="DM53" s="2"/>
      <c r="DN53" s="2"/>
      <c r="DO53" s="6"/>
      <c r="DP53" s="12"/>
      <c r="DQ53" s="10"/>
    </row>
    <row r="54" spans="2:121" x14ac:dyDescent="0.45">
      <c r="B54">
        <f t="shared" si="52"/>
        <v>46</v>
      </c>
      <c r="C54">
        <v>20</v>
      </c>
      <c r="D54">
        <f t="shared" si="53"/>
        <v>920</v>
      </c>
      <c r="E54" s="19">
        <v>920.54</v>
      </c>
      <c r="F54" s="23">
        <f t="shared" si="54"/>
        <v>20.034999999999968</v>
      </c>
      <c r="G54" s="6">
        <f t="shared" si="39"/>
        <v>0.53999999999996362</v>
      </c>
      <c r="H54" s="12">
        <f t="shared" si="55"/>
        <v>3.4999999999968168E-2</v>
      </c>
      <c r="J54" s="20">
        <f t="shared" si="0"/>
        <v>4.0000000000077307E-2</v>
      </c>
      <c r="K54" s="2"/>
      <c r="L54">
        <f t="shared" si="56"/>
        <v>46</v>
      </c>
      <c r="M54">
        <v>20</v>
      </c>
      <c r="N54">
        <f t="shared" si="57"/>
        <v>920</v>
      </c>
      <c r="O54" s="19">
        <v>920.56500000000005</v>
      </c>
      <c r="P54" s="23">
        <f t="shared" si="58"/>
        <v>20.075000000000045</v>
      </c>
      <c r="Q54" s="6">
        <f t="shared" si="40"/>
        <v>0.56500000000005457</v>
      </c>
      <c r="R54" s="27">
        <f t="shared" si="59"/>
        <v>7.5000000000045475E-2</v>
      </c>
      <c r="S54" s="27"/>
      <c r="T54" s="20">
        <f t="shared" si="1"/>
        <v>-4.500000000007276E-2</v>
      </c>
      <c r="U54" s="2"/>
      <c r="V54">
        <f t="shared" si="60"/>
        <v>46</v>
      </c>
      <c r="W54">
        <v>20</v>
      </c>
      <c r="X54">
        <f t="shared" si="61"/>
        <v>920</v>
      </c>
      <c r="Y54" s="19">
        <v>920.53</v>
      </c>
      <c r="Z54" s="23">
        <f t="shared" si="62"/>
        <v>20.029999999999973</v>
      </c>
      <c r="AA54" s="6">
        <f t="shared" si="41"/>
        <v>0.52999999999997272</v>
      </c>
      <c r="AB54" s="27">
        <f t="shared" si="63"/>
        <v>2.9999999999972715E-2</v>
      </c>
      <c r="AC54" s="27"/>
      <c r="AD54" s="20">
        <f t="shared" si="2"/>
        <v>-1.999999999998181E-2</v>
      </c>
      <c r="AE54" s="2"/>
      <c r="AF54">
        <f t="shared" si="64"/>
        <v>46</v>
      </c>
      <c r="AG54">
        <v>20</v>
      </c>
      <c r="AH54">
        <f t="shared" si="65"/>
        <v>920</v>
      </c>
      <c r="AI54" s="19">
        <v>920.53499999999997</v>
      </c>
      <c r="AJ54" s="23">
        <f t="shared" si="66"/>
        <v>20.009999999999991</v>
      </c>
      <c r="AK54" s="6">
        <f t="shared" si="42"/>
        <v>0.53499999999996817</v>
      </c>
      <c r="AL54" s="27">
        <f t="shared" si="67"/>
        <v>9.9999999999909051E-3</v>
      </c>
      <c r="AM54" s="27"/>
      <c r="AN54" s="20">
        <f t="shared" si="3"/>
        <v>-9.9999999999909051E-3</v>
      </c>
      <c r="AO54" s="2"/>
      <c r="AP54">
        <f t="shared" si="68"/>
        <v>46</v>
      </c>
      <c r="AQ54">
        <v>20</v>
      </c>
      <c r="AR54">
        <f t="shared" si="69"/>
        <v>920</v>
      </c>
      <c r="AS54" s="19">
        <v>920.51</v>
      </c>
      <c r="AT54" s="23">
        <f t="shared" si="70"/>
        <v>20</v>
      </c>
      <c r="AU54" s="6">
        <f t="shared" si="43"/>
        <v>0.50999999999999091</v>
      </c>
      <c r="AV54" s="27">
        <f t="shared" si="71"/>
        <v>0</v>
      </c>
      <c r="AW54" s="27"/>
      <c r="AX54" s="27"/>
      <c r="AY54" s="2">
        <f t="shared" si="44"/>
        <v>920.53600000000006</v>
      </c>
      <c r="AZ54" s="23">
        <f t="shared" si="45"/>
        <v>20.029999999999994</v>
      </c>
      <c r="BA54" s="6">
        <f t="shared" si="46"/>
        <v>0.53599999999999004</v>
      </c>
      <c r="BB54" s="27">
        <f t="shared" si="47"/>
        <v>2.9999999999995454E-2</v>
      </c>
      <c r="BC54" s="27"/>
      <c r="BD54" s="36"/>
      <c r="BF54">
        <f t="shared" si="4"/>
        <v>31</v>
      </c>
      <c r="BG54">
        <f t="shared" si="5"/>
        <v>-20</v>
      </c>
      <c r="BH54">
        <f t="shared" si="6"/>
        <v>900</v>
      </c>
      <c r="BI54" s="19">
        <v>-619.65</v>
      </c>
      <c r="BJ54" s="2">
        <f t="shared" si="7"/>
        <v>900.35000000000036</v>
      </c>
      <c r="BK54" s="23">
        <f t="shared" si="8"/>
        <v>-20.125</v>
      </c>
      <c r="BL54" s="6">
        <f t="shared" si="9"/>
        <v>-0.3500000000003638</v>
      </c>
      <c r="BM54" s="12">
        <f t="shared" si="10"/>
        <v>0.125</v>
      </c>
      <c r="BO54" s="20">
        <f t="shared" si="48"/>
        <v>-2.9999999999972715E-2</v>
      </c>
      <c r="BQ54">
        <f t="shared" si="11"/>
        <v>31</v>
      </c>
      <c r="BR54">
        <f t="shared" si="12"/>
        <v>-20</v>
      </c>
      <c r="BS54">
        <f t="shared" si="13"/>
        <v>900</v>
      </c>
      <c r="BT54" s="19">
        <v>-619.72</v>
      </c>
      <c r="BU54" s="2">
        <f t="shared" si="14"/>
        <v>900.27999999999952</v>
      </c>
      <c r="BV54" s="23">
        <f t="shared" si="72"/>
        <v>-20.154999999999973</v>
      </c>
      <c r="BW54" s="6">
        <f t="shared" si="16"/>
        <v>-0.27999999999951797</v>
      </c>
      <c r="BX54" s="12">
        <f t="shared" si="17"/>
        <v>0.15499999999997272</v>
      </c>
      <c r="BY54" s="12"/>
      <c r="BZ54" s="20">
        <f t="shared" si="49"/>
        <v>0.11500000000000909</v>
      </c>
      <c r="CB54">
        <f t="shared" si="18"/>
        <v>31</v>
      </c>
      <c r="CC54">
        <f t="shared" si="19"/>
        <v>-20</v>
      </c>
      <c r="CD54">
        <f t="shared" si="20"/>
        <v>900</v>
      </c>
      <c r="CE54" s="19">
        <v>-619.64499999999998</v>
      </c>
      <c r="CF54" s="2">
        <f t="shared" si="21"/>
        <v>900.35500000000002</v>
      </c>
      <c r="CG54" s="23">
        <f t="shared" si="73"/>
        <v>-20.039999999999964</v>
      </c>
      <c r="CH54" s="6">
        <f t="shared" si="23"/>
        <v>-0.35500000000001819</v>
      </c>
      <c r="CI54" s="12">
        <f t="shared" si="24"/>
        <v>3.999999999996362E-2</v>
      </c>
      <c r="CK54" s="20">
        <f t="shared" si="50"/>
        <v>-1.999999999998181E-2</v>
      </c>
      <c r="CM54">
        <f t="shared" si="25"/>
        <v>31</v>
      </c>
      <c r="CN54">
        <f t="shared" si="26"/>
        <v>-20</v>
      </c>
      <c r="CO54">
        <f t="shared" si="27"/>
        <v>900</v>
      </c>
      <c r="CP54" s="19">
        <v>-619.64</v>
      </c>
      <c r="CQ54" s="2">
        <f t="shared" si="28"/>
        <v>900.35999999999979</v>
      </c>
      <c r="CR54" s="23">
        <f t="shared" si="74"/>
        <v>-20.059999999999945</v>
      </c>
      <c r="CS54" s="6">
        <f t="shared" si="30"/>
        <v>-0.35999999999978627</v>
      </c>
      <c r="CT54" s="12">
        <f t="shared" si="31"/>
        <v>5.999999999994543E-2</v>
      </c>
      <c r="CV54" s="20">
        <f t="shared" si="51"/>
        <v>-2.5000000000090949E-2</v>
      </c>
      <c r="CX54">
        <f t="shared" si="32"/>
        <v>31</v>
      </c>
      <c r="CY54">
        <f t="shared" si="33"/>
        <v>-20</v>
      </c>
      <c r="CZ54">
        <f t="shared" si="34"/>
        <v>900</v>
      </c>
      <c r="DA54" s="19">
        <v>-619.69000000000005</v>
      </c>
      <c r="DB54" s="2">
        <f t="shared" si="35"/>
        <v>900.30999999999949</v>
      </c>
      <c r="DC54" s="23">
        <f t="shared" si="75"/>
        <v>-20.085000000000036</v>
      </c>
      <c r="DD54" s="6">
        <f t="shared" si="37"/>
        <v>-0.30999999999949068</v>
      </c>
      <c r="DE54" s="12">
        <f t="shared" si="38"/>
        <v>8.500000000003638E-2</v>
      </c>
      <c r="DM54" s="2"/>
      <c r="DN54" s="2"/>
      <c r="DO54" s="6"/>
      <c r="DP54" s="12"/>
      <c r="DQ54" s="10"/>
    </row>
    <row r="55" spans="2:121" x14ac:dyDescent="0.45">
      <c r="B55">
        <f t="shared" si="52"/>
        <v>47</v>
      </c>
      <c r="C55">
        <v>20</v>
      </c>
      <c r="D55">
        <f t="shared" si="53"/>
        <v>940</v>
      </c>
      <c r="E55" s="19">
        <v>940.52</v>
      </c>
      <c r="F55" s="23">
        <f t="shared" si="54"/>
        <v>19.980000000000018</v>
      </c>
      <c r="G55" s="6">
        <f t="shared" si="39"/>
        <v>0.51999999999998181</v>
      </c>
      <c r="H55" s="12">
        <f t="shared" si="55"/>
        <v>-1.999999999998181E-2</v>
      </c>
      <c r="J55" s="20">
        <f t="shared" si="0"/>
        <v>-1.1368683772161603E-13</v>
      </c>
      <c r="K55" s="2"/>
      <c r="L55">
        <f t="shared" si="56"/>
        <v>47</v>
      </c>
      <c r="M55">
        <v>20</v>
      </c>
      <c r="N55">
        <f t="shared" si="57"/>
        <v>940</v>
      </c>
      <c r="O55" s="19">
        <v>940.54499999999996</v>
      </c>
      <c r="P55" s="23">
        <f t="shared" si="58"/>
        <v>19.979999999999905</v>
      </c>
      <c r="Q55" s="6">
        <f t="shared" si="40"/>
        <v>0.54499999999995907</v>
      </c>
      <c r="R55" s="27">
        <f t="shared" si="59"/>
        <v>-2.0000000000095497E-2</v>
      </c>
      <c r="S55" s="27"/>
      <c r="T55" s="20">
        <f t="shared" si="1"/>
        <v>3.0000000000086402E-2</v>
      </c>
      <c r="U55" s="2"/>
      <c r="V55">
        <f t="shared" si="60"/>
        <v>47</v>
      </c>
      <c r="W55">
        <v>20</v>
      </c>
      <c r="X55">
        <f t="shared" si="61"/>
        <v>940</v>
      </c>
      <c r="Y55" s="19">
        <v>940.54</v>
      </c>
      <c r="Z55" s="23">
        <f t="shared" si="62"/>
        <v>20.009999999999991</v>
      </c>
      <c r="AA55" s="6">
        <f t="shared" si="41"/>
        <v>0.53999999999996362</v>
      </c>
      <c r="AB55" s="27">
        <f t="shared" si="63"/>
        <v>9.9999999999909051E-3</v>
      </c>
      <c r="AC55" s="27"/>
      <c r="AD55" s="20">
        <f t="shared" si="2"/>
        <v>4.9999999999954525E-3</v>
      </c>
      <c r="AE55" s="2"/>
      <c r="AF55">
        <f t="shared" si="64"/>
        <v>47</v>
      </c>
      <c r="AG55">
        <v>20</v>
      </c>
      <c r="AH55">
        <f t="shared" si="65"/>
        <v>940</v>
      </c>
      <c r="AI55" s="19">
        <v>940.55</v>
      </c>
      <c r="AJ55" s="23">
        <f t="shared" si="66"/>
        <v>20.014999999999986</v>
      </c>
      <c r="AK55" s="6">
        <f t="shared" si="42"/>
        <v>0.54999999999995453</v>
      </c>
      <c r="AL55" s="27">
        <f t="shared" si="67"/>
        <v>1.4999999999986358E-2</v>
      </c>
      <c r="AM55" s="27"/>
      <c r="AN55" s="20">
        <f t="shared" si="3"/>
        <v>0</v>
      </c>
      <c r="AO55" s="2"/>
      <c r="AP55">
        <f t="shared" si="68"/>
        <v>47</v>
      </c>
      <c r="AQ55">
        <v>20</v>
      </c>
      <c r="AR55">
        <f t="shared" si="69"/>
        <v>940</v>
      </c>
      <c r="AS55" s="19">
        <v>940.52499999999998</v>
      </c>
      <c r="AT55" s="23">
        <f t="shared" si="70"/>
        <v>20.014999999999986</v>
      </c>
      <c r="AU55" s="6">
        <f t="shared" si="43"/>
        <v>0.52499999999997726</v>
      </c>
      <c r="AV55" s="27">
        <f t="shared" si="71"/>
        <v>1.4999999999986358E-2</v>
      </c>
      <c r="AW55" s="27"/>
      <c r="AX55" s="27"/>
      <c r="AY55" s="2">
        <f t="shared" si="44"/>
        <v>940.53599999999983</v>
      </c>
      <c r="AZ55" s="23">
        <f t="shared" si="45"/>
        <v>19.999999999999979</v>
      </c>
      <c r="BA55" s="6">
        <f t="shared" si="46"/>
        <v>0.53599999999996728</v>
      </c>
      <c r="BB55" s="27">
        <f t="shared" si="47"/>
        <v>-2.2737367544323207E-14</v>
      </c>
      <c r="BC55" s="27"/>
      <c r="BD55" s="36"/>
      <c r="BF55">
        <f t="shared" si="4"/>
        <v>30</v>
      </c>
      <c r="BG55">
        <f t="shared" si="5"/>
        <v>-20</v>
      </c>
      <c r="BH55">
        <f t="shared" si="6"/>
        <v>920</v>
      </c>
      <c r="BI55" s="19">
        <v>-599.52499999999998</v>
      </c>
      <c r="BJ55" s="2">
        <f t="shared" si="7"/>
        <v>920.47500000000036</v>
      </c>
      <c r="BK55" s="23">
        <f t="shared" si="8"/>
        <v>-19.939999999999941</v>
      </c>
      <c r="BL55" s="6">
        <f t="shared" si="9"/>
        <v>-0.4750000000003638</v>
      </c>
      <c r="BM55" s="12">
        <f t="shared" si="10"/>
        <v>-6.0000000000059117E-2</v>
      </c>
      <c r="BO55" s="20">
        <f t="shared" si="48"/>
        <v>-2.5000000000090949E-2</v>
      </c>
      <c r="BQ55">
        <f t="shared" si="11"/>
        <v>30</v>
      </c>
      <c r="BR55">
        <f t="shared" si="12"/>
        <v>-20</v>
      </c>
      <c r="BS55">
        <f t="shared" si="13"/>
        <v>920</v>
      </c>
      <c r="BT55" s="19">
        <v>-599.56500000000005</v>
      </c>
      <c r="BU55" s="2">
        <f t="shared" si="14"/>
        <v>920.43499999999949</v>
      </c>
      <c r="BV55" s="23">
        <f t="shared" si="72"/>
        <v>-19.965000000000032</v>
      </c>
      <c r="BW55" s="6">
        <f t="shared" si="16"/>
        <v>-0.43499999999949068</v>
      </c>
      <c r="BX55" s="12">
        <f t="shared" si="17"/>
        <v>-3.4999999999968168E-2</v>
      </c>
      <c r="BY55" s="12"/>
      <c r="BZ55" s="20">
        <f t="shared" si="49"/>
        <v>-2.9999999999972715E-2</v>
      </c>
      <c r="CB55">
        <f t="shared" si="18"/>
        <v>30</v>
      </c>
      <c r="CC55">
        <f t="shared" si="19"/>
        <v>-20</v>
      </c>
      <c r="CD55">
        <f t="shared" si="20"/>
        <v>920</v>
      </c>
      <c r="CE55" s="19">
        <v>-599.60500000000002</v>
      </c>
      <c r="CF55" s="2">
        <f t="shared" si="21"/>
        <v>920.39499999999998</v>
      </c>
      <c r="CG55" s="23">
        <f t="shared" si="73"/>
        <v>-19.995000000000005</v>
      </c>
      <c r="CH55" s="6">
        <f t="shared" si="23"/>
        <v>-0.39499999999998181</v>
      </c>
      <c r="CI55" s="12">
        <f t="shared" si="24"/>
        <v>-4.9999999999954525E-3</v>
      </c>
      <c r="CK55" s="20">
        <f t="shared" si="50"/>
        <v>4.9999999999954525E-2</v>
      </c>
      <c r="CM55">
        <f t="shared" si="25"/>
        <v>30</v>
      </c>
      <c r="CN55">
        <f t="shared" si="26"/>
        <v>-20</v>
      </c>
      <c r="CO55">
        <f t="shared" si="27"/>
        <v>920</v>
      </c>
      <c r="CP55" s="19">
        <v>-599.58000000000004</v>
      </c>
      <c r="CQ55" s="2">
        <f t="shared" si="28"/>
        <v>920.41999999999973</v>
      </c>
      <c r="CR55" s="23">
        <f t="shared" si="74"/>
        <v>-19.94500000000005</v>
      </c>
      <c r="CS55" s="6">
        <f t="shared" si="30"/>
        <v>-0.4199999999997317</v>
      </c>
      <c r="CT55" s="12">
        <f t="shared" si="31"/>
        <v>-5.4999999999949978E-2</v>
      </c>
      <c r="CV55" s="20">
        <f t="shared" si="51"/>
        <v>-9.0849999999999227</v>
      </c>
      <c r="CX55">
        <f t="shared" si="32"/>
        <v>30</v>
      </c>
      <c r="CY55">
        <f t="shared" si="33"/>
        <v>-20</v>
      </c>
      <c r="CZ55">
        <f t="shared" si="34"/>
        <v>920</v>
      </c>
      <c r="DA55" s="19">
        <v>-599.60500000000002</v>
      </c>
      <c r="DB55" s="2">
        <f t="shared" si="35"/>
        <v>920.39499999999953</v>
      </c>
      <c r="DC55" s="23">
        <f t="shared" si="75"/>
        <v>-29.029999999999973</v>
      </c>
      <c r="DD55" s="6">
        <f t="shared" si="37"/>
        <v>-0.39499999999952706</v>
      </c>
      <c r="DE55" s="12">
        <f t="shared" si="38"/>
        <v>9.0299999999999727</v>
      </c>
      <c r="DM55" s="2"/>
      <c r="DN55" s="2"/>
      <c r="DO55" s="6"/>
      <c r="DP55" s="12"/>
      <c r="DQ55" s="10"/>
    </row>
    <row r="56" spans="2:121" x14ac:dyDescent="0.45">
      <c r="B56">
        <f t="shared" si="52"/>
        <v>48</v>
      </c>
      <c r="C56">
        <v>20</v>
      </c>
      <c r="D56">
        <f t="shared" si="53"/>
        <v>960</v>
      </c>
      <c r="E56" s="19">
        <v>960.47500000000002</v>
      </c>
      <c r="F56" s="23">
        <f t="shared" si="54"/>
        <v>19.955000000000041</v>
      </c>
      <c r="G56" s="6">
        <f t="shared" si="39"/>
        <v>0.47500000000002274</v>
      </c>
      <c r="H56" s="12">
        <f t="shared" si="55"/>
        <v>-4.4999999999959073E-2</v>
      </c>
      <c r="J56" s="20">
        <f t="shared" si="0"/>
        <v>-2.4999999999977263E-2</v>
      </c>
      <c r="K56" s="2"/>
      <c r="L56">
        <f t="shared" si="56"/>
        <v>48</v>
      </c>
      <c r="M56">
        <v>20</v>
      </c>
      <c r="N56">
        <f t="shared" si="57"/>
        <v>960</v>
      </c>
      <c r="O56" s="19">
        <v>960.47500000000002</v>
      </c>
      <c r="P56" s="23">
        <f t="shared" si="58"/>
        <v>19.930000000000064</v>
      </c>
      <c r="Q56" s="6">
        <f t="shared" si="40"/>
        <v>0.47500000000002274</v>
      </c>
      <c r="R56" s="27">
        <f t="shared" si="59"/>
        <v>-6.9999999999936335E-2</v>
      </c>
      <c r="S56" s="27"/>
      <c r="T56" s="20">
        <f t="shared" si="1"/>
        <v>2.4999999999977263E-2</v>
      </c>
      <c r="U56" s="2"/>
      <c r="V56">
        <f t="shared" si="60"/>
        <v>48</v>
      </c>
      <c r="W56">
        <v>20</v>
      </c>
      <c r="X56">
        <f t="shared" si="61"/>
        <v>960</v>
      </c>
      <c r="Y56" s="19">
        <v>960.495</v>
      </c>
      <c r="Z56" s="23">
        <f t="shared" si="62"/>
        <v>19.955000000000041</v>
      </c>
      <c r="AA56" s="6">
        <f t="shared" si="41"/>
        <v>0.49500000000000455</v>
      </c>
      <c r="AB56" s="27">
        <f t="shared" si="63"/>
        <v>-4.4999999999959073E-2</v>
      </c>
      <c r="AC56" s="27"/>
      <c r="AD56" s="20">
        <f t="shared" si="2"/>
        <v>-1.4999999999986358E-2</v>
      </c>
      <c r="AE56" s="2"/>
      <c r="AF56">
        <f t="shared" si="64"/>
        <v>48</v>
      </c>
      <c r="AG56">
        <v>20</v>
      </c>
      <c r="AH56">
        <f t="shared" si="65"/>
        <v>960</v>
      </c>
      <c r="AI56" s="19">
        <v>960.49</v>
      </c>
      <c r="AJ56" s="23">
        <f t="shared" si="66"/>
        <v>19.940000000000055</v>
      </c>
      <c r="AK56" s="6">
        <f t="shared" si="42"/>
        <v>0.49000000000000909</v>
      </c>
      <c r="AL56" s="27">
        <f t="shared" si="67"/>
        <v>-5.999999999994543E-2</v>
      </c>
      <c r="AM56" s="27"/>
      <c r="AN56" s="20">
        <f t="shared" si="3"/>
        <v>-4.9999999999954525E-3</v>
      </c>
      <c r="AO56" s="2"/>
      <c r="AP56">
        <f t="shared" si="68"/>
        <v>48</v>
      </c>
      <c r="AQ56">
        <v>20</v>
      </c>
      <c r="AR56">
        <f t="shared" si="69"/>
        <v>960</v>
      </c>
      <c r="AS56" s="19">
        <v>960.46</v>
      </c>
      <c r="AT56" s="23">
        <f t="shared" si="70"/>
        <v>19.935000000000059</v>
      </c>
      <c r="AU56" s="6">
        <f t="shared" si="43"/>
        <v>0.46000000000003638</v>
      </c>
      <c r="AV56" s="27">
        <f t="shared" si="71"/>
        <v>-6.4999999999940883E-2</v>
      </c>
      <c r="AW56" s="27"/>
      <c r="AX56" s="27"/>
      <c r="AY56" s="2">
        <f t="shared" si="44"/>
        <v>960.47900000000004</v>
      </c>
      <c r="AZ56" s="23">
        <f t="shared" si="45"/>
        <v>19.943000000000051</v>
      </c>
      <c r="BA56" s="6">
        <f t="shared" si="46"/>
        <v>0.47900000000001908</v>
      </c>
      <c r="BB56" s="27">
        <f t="shared" si="47"/>
        <v>-5.6999999999948162E-2</v>
      </c>
      <c r="BC56" s="27"/>
      <c r="BD56" s="36"/>
      <c r="BF56">
        <f t="shared" si="4"/>
        <v>29</v>
      </c>
      <c r="BG56">
        <f t="shared" si="5"/>
        <v>-20</v>
      </c>
      <c r="BH56">
        <f t="shared" si="6"/>
        <v>940</v>
      </c>
      <c r="BI56" s="19">
        <v>-579.58500000000004</v>
      </c>
      <c r="BJ56" s="2">
        <f t="shared" si="7"/>
        <v>940.4150000000003</v>
      </c>
      <c r="BK56" s="23">
        <f t="shared" si="8"/>
        <v>-20.060000000000059</v>
      </c>
      <c r="BL56" s="6">
        <f t="shared" si="9"/>
        <v>-0.41500000000030468</v>
      </c>
      <c r="BM56" s="12">
        <f t="shared" si="10"/>
        <v>6.0000000000059117E-2</v>
      </c>
      <c r="BO56" s="20">
        <f t="shared" si="48"/>
        <v>1.999999999998181E-2</v>
      </c>
      <c r="BQ56">
        <f t="shared" si="11"/>
        <v>29</v>
      </c>
      <c r="BR56">
        <f t="shared" si="12"/>
        <v>-20</v>
      </c>
      <c r="BS56">
        <f t="shared" si="13"/>
        <v>940</v>
      </c>
      <c r="BT56" s="19">
        <v>-579.6</v>
      </c>
      <c r="BU56" s="2">
        <f t="shared" si="14"/>
        <v>940.39999999999952</v>
      </c>
      <c r="BV56" s="23">
        <f t="shared" si="72"/>
        <v>-20.040000000000077</v>
      </c>
      <c r="BW56" s="6">
        <f t="shared" si="16"/>
        <v>-0.39999999999952252</v>
      </c>
      <c r="BX56" s="12">
        <f t="shared" si="17"/>
        <v>4.0000000000077307E-2</v>
      </c>
      <c r="BY56" s="12"/>
      <c r="BZ56" s="20">
        <f t="shared" si="49"/>
        <v>8.0000000000040927E-2</v>
      </c>
      <c r="CB56">
        <f t="shared" si="18"/>
        <v>29</v>
      </c>
      <c r="CC56">
        <f t="shared" si="19"/>
        <v>-20</v>
      </c>
      <c r="CD56">
        <f t="shared" si="20"/>
        <v>940</v>
      </c>
      <c r="CE56" s="19">
        <v>-579.61</v>
      </c>
      <c r="CF56" s="2">
        <f t="shared" si="21"/>
        <v>940.39</v>
      </c>
      <c r="CG56" s="23">
        <f t="shared" si="73"/>
        <v>-19.960000000000036</v>
      </c>
      <c r="CH56" s="6">
        <f t="shared" si="23"/>
        <v>-0.38999999999998636</v>
      </c>
      <c r="CI56" s="12">
        <f t="shared" si="24"/>
        <v>-3.999999999996362E-2</v>
      </c>
      <c r="CK56" s="20">
        <f t="shared" si="50"/>
        <v>-6.9999999999936335E-2</v>
      </c>
      <c r="CM56">
        <f t="shared" si="25"/>
        <v>29</v>
      </c>
      <c r="CN56">
        <f t="shared" si="26"/>
        <v>-20</v>
      </c>
      <c r="CO56">
        <f t="shared" si="27"/>
        <v>940</v>
      </c>
      <c r="CP56" s="19">
        <v>-579.63499999999999</v>
      </c>
      <c r="CQ56" s="2">
        <f t="shared" si="28"/>
        <v>940.36499999999978</v>
      </c>
      <c r="CR56" s="23">
        <f t="shared" si="74"/>
        <v>-20.029999999999973</v>
      </c>
      <c r="CS56" s="6">
        <f t="shared" si="30"/>
        <v>-0.36499999999978172</v>
      </c>
      <c r="CT56" s="12">
        <f t="shared" si="31"/>
        <v>2.9999999999972715E-2</v>
      </c>
      <c r="CV56" s="20">
        <f t="shared" si="51"/>
        <v>9.0249999999999773</v>
      </c>
      <c r="CX56">
        <f t="shared" si="32"/>
        <v>29</v>
      </c>
      <c r="CY56">
        <f t="shared" si="33"/>
        <v>-20</v>
      </c>
      <c r="CZ56">
        <f t="shared" si="34"/>
        <v>940</v>
      </c>
      <c r="DA56" s="19">
        <v>-570.57500000000005</v>
      </c>
      <c r="DB56" s="2">
        <f t="shared" si="35"/>
        <v>949.4249999999995</v>
      </c>
      <c r="DC56" s="23">
        <f t="shared" si="75"/>
        <v>-11.004999999999995</v>
      </c>
      <c r="DD56" s="6">
        <f t="shared" si="37"/>
        <v>-9.4249999999994998</v>
      </c>
      <c r="DE56" s="12">
        <f t="shared" si="38"/>
        <v>-8.9950000000000045</v>
      </c>
      <c r="DM56" s="2"/>
      <c r="DN56" s="2"/>
      <c r="DO56" s="6"/>
      <c r="DP56" s="12"/>
      <c r="DQ56" s="10"/>
    </row>
    <row r="57" spans="2:121" x14ac:dyDescent="0.45">
      <c r="B57">
        <f t="shared" si="52"/>
        <v>49</v>
      </c>
      <c r="C57">
        <v>20</v>
      </c>
      <c r="D57">
        <f t="shared" si="53"/>
        <v>980</v>
      </c>
      <c r="E57" s="19">
        <v>980.45</v>
      </c>
      <c r="F57" s="23">
        <f t="shared" si="54"/>
        <v>19.975000000000023</v>
      </c>
      <c r="G57" s="6">
        <f t="shared" si="39"/>
        <v>0.45000000000004547</v>
      </c>
      <c r="H57" s="12">
        <f t="shared" si="55"/>
        <v>-2.4999999999977263E-2</v>
      </c>
      <c r="J57" s="20">
        <f t="shared" si="0"/>
        <v>0</v>
      </c>
      <c r="K57" s="2"/>
      <c r="L57">
        <f t="shared" si="56"/>
        <v>49</v>
      </c>
      <c r="M57">
        <v>20</v>
      </c>
      <c r="N57">
        <f t="shared" si="57"/>
        <v>980</v>
      </c>
      <c r="O57" s="19">
        <v>980.45</v>
      </c>
      <c r="P57" s="23">
        <f t="shared" si="58"/>
        <v>19.975000000000023</v>
      </c>
      <c r="Q57" s="6">
        <f t="shared" si="40"/>
        <v>0.45000000000004547</v>
      </c>
      <c r="R57" s="27">
        <f t="shared" si="59"/>
        <v>-2.4999999999977263E-2</v>
      </c>
      <c r="S57" s="27"/>
      <c r="T57" s="20">
        <f t="shared" si="1"/>
        <v>-9.9999999999909051E-3</v>
      </c>
      <c r="U57" s="2"/>
      <c r="V57">
        <f t="shared" si="60"/>
        <v>49</v>
      </c>
      <c r="W57">
        <v>20</v>
      </c>
      <c r="X57">
        <f t="shared" si="61"/>
        <v>980</v>
      </c>
      <c r="Y57" s="19">
        <v>980.46</v>
      </c>
      <c r="Z57" s="23">
        <f t="shared" si="62"/>
        <v>19.965000000000032</v>
      </c>
      <c r="AA57" s="6">
        <f t="shared" si="41"/>
        <v>0.46000000000003638</v>
      </c>
      <c r="AB57" s="27">
        <f t="shared" si="63"/>
        <v>-3.4999999999968168E-2</v>
      </c>
      <c r="AC57" s="27"/>
      <c r="AD57" s="20">
        <f t="shared" si="2"/>
        <v>-4.9999999999954525E-3</v>
      </c>
      <c r="AE57" s="2"/>
      <c r="AF57">
        <f t="shared" si="64"/>
        <v>49</v>
      </c>
      <c r="AG57">
        <v>20</v>
      </c>
      <c r="AH57">
        <f t="shared" si="65"/>
        <v>980</v>
      </c>
      <c r="AI57" s="19">
        <v>980.45</v>
      </c>
      <c r="AJ57" s="23">
        <f t="shared" si="66"/>
        <v>19.960000000000036</v>
      </c>
      <c r="AK57" s="6">
        <f t="shared" si="42"/>
        <v>0.45000000000004547</v>
      </c>
      <c r="AL57" s="27">
        <f t="shared" si="67"/>
        <v>-3.999999999996362E-2</v>
      </c>
      <c r="AM57" s="27"/>
      <c r="AN57" s="20">
        <f t="shared" si="3"/>
        <v>9.9999999998772182E-3</v>
      </c>
      <c r="AO57" s="2"/>
      <c r="AP57">
        <f t="shared" si="68"/>
        <v>49</v>
      </c>
      <c r="AQ57">
        <v>20</v>
      </c>
      <c r="AR57">
        <f t="shared" si="69"/>
        <v>980</v>
      </c>
      <c r="AS57" s="19">
        <v>980.43</v>
      </c>
      <c r="AT57" s="23">
        <f t="shared" si="70"/>
        <v>19.969999999999914</v>
      </c>
      <c r="AU57" s="6">
        <f t="shared" si="43"/>
        <v>0.42999999999994998</v>
      </c>
      <c r="AV57" s="27">
        <f t="shared" si="71"/>
        <v>-3.0000000000086402E-2</v>
      </c>
      <c r="AW57" s="27"/>
      <c r="AX57" s="27"/>
      <c r="AY57" s="2">
        <f t="shared" si="44"/>
        <v>980.44800000000009</v>
      </c>
      <c r="AZ57" s="23">
        <f t="shared" si="45"/>
        <v>19.969000000000005</v>
      </c>
      <c r="BA57" s="6">
        <f t="shared" si="46"/>
        <v>0.44800000000002455</v>
      </c>
      <c r="BB57" s="27">
        <f t="shared" si="47"/>
        <v>-3.0999999999994542E-2</v>
      </c>
      <c r="BC57" s="27"/>
      <c r="BD57" s="36"/>
      <c r="BF57">
        <f t="shared" si="4"/>
        <v>28</v>
      </c>
      <c r="BG57">
        <f t="shared" si="5"/>
        <v>-20</v>
      </c>
      <c r="BH57">
        <f t="shared" si="6"/>
        <v>960</v>
      </c>
      <c r="BI57" s="19">
        <v>-559.52499999999998</v>
      </c>
      <c r="BJ57" s="2">
        <f t="shared" si="7"/>
        <v>960.47500000000036</v>
      </c>
      <c r="BK57" s="23">
        <f t="shared" si="8"/>
        <v>-19.884999999999991</v>
      </c>
      <c r="BL57" s="6">
        <f t="shared" si="9"/>
        <v>-0.4750000000003638</v>
      </c>
      <c r="BM57" s="12">
        <f t="shared" si="10"/>
        <v>-0.11500000000000909</v>
      </c>
      <c r="BO57" s="20">
        <f t="shared" si="48"/>
        <v>-4.9999999999954525E-3</v>
      </c>
      <c r="BQ57">
        <f t="shared" si="11"/>
        <v>28</v>
      </c>
      <c r="BR57">
        <f t="shared" si="12"/>
        <v>-20</v>
      </c>
      <c r="BS57">
        <f t="shared" si="13"/>
        <v>960</v>
      </c>
      <c r="BT57" s="19">
        <v>-559.55999999999995</v>
      </c>
      <c r="BU57" s="2">
        <f t="shared" si="14"/>
        <v>960.4399999999996</v>
      </c>
      <c r="BV57" s="23">
        <f t="shared" si="72"/>
        <v>-19.889999999999986</v>
      </c>
      <c r="BW57" s="6">
        <f t="shared" si="16"/>
        <v>-0.43999999999959982</v>
      </c>
      <c r="BX57" s="12">
        <f t="shared" si="17"/>
        <v>-0.11000000000001364</v>
      </c>
      <c r="BY57" s="12"/>
      <c r="BZ57" s="20">
        <f t="shared" si="49"/>
        <v>-0.10000000000002274</v>
      </c>
      <c r="CB57">
        <f t="shared" si="18"/>
        <v>28</v>
      </c>
      <c r="CC57">
        <f t="shared" si="19"/>
        <v>-20</v>
      </c>
      <c r="CD57">
        <f t="shared" si="20"/>
        <v>960</v>
      </c>
      <c r="CE57" s="19">
        <v>-559.65</v>
      </c>
      <c r="CF57" s="2">
        <f t="shared" si="21"/>
        <v>960.35</v>
      </c>
      <c r="CG57" s="23">
        <f t="shared" si="73"/>
        <v>-19.990000000000009</v>
      </c>
      <c r="CH57" s="6">
        <f t="shared" si="23"/>
        <v>-0.35000000000002274</v>
      </c>
      <c r="CI57" s="12">
        <f t="shared" si="24"/>
        <v>-9.9999999999909051E-3</v>
      </c>
      <c r="CK57" s="20">
        <f t="shared" si="50"/>
        <v>5.999999999994543E-2</v>
      </c>
      <c r="CM57">
        <f t="shared" si="25"/>
        <v>28</v>
      </c>
      <c r="CN57">
        <f t="shared" si="26"/>
        <v>-20</v>
      </c>
      <c r="CO57">
        <f t="shared" si="27"/>
        <v>960</v>
      </c>
      <c r="CP57" s="19">
        <v>-559.60500000000002</v>
      </c>
      <c r="CQ57" s="2">
        <f t="shared" si="28"/>
        <v>960.39499999999975</v>
      </c>
      <c r="CR57" s="23">
        <f t="shared" si="74"/>
        <v>-19.930000000000064</v>
      </c>
      <c r="CS57" s="6">
        <f t="shared" si="30"/>
        <v>-0.39499999999975444</v>
      </c>
      <c r="CT57" s="12">
        <f t="shared" si="31"/>
        <v>-6.9999999999936335E-2</v>
      </c>
      <c r="CV57" s="20">
        <f t="shared" si="51"/>
        <v>3.4999999999968168E-2</v>
      </c>
      <c r="CX57">
        <f t="shared" si="32"/>
        <v>28</v>
      </c>
      <c r="CY57">
        <f t="shared" si="33"/>
        <v>-20</v>
      </c>
      <c r="CZ57">
        <f t="shared" si="34"/>
        <v>960</v>
      </c>
      <c r="DA57" s="19">
        <v>-559.57000000000005</v>
      </c>
      <c r="DB57" s="2">
        <f t="shared" si="35"/>
        <v>960.4299999999995</v>
      </c>
      <c r="DC57" s="23">
        <f t="shared" si="75"/>
        <v>-19.895000000000095</v>
      </c>
      <c r="DD57" s="6">
        <f t="shared" si="37"/>
        <v>-0.42999999999949523</v>
      </c>
      <c r="DE57" s="12">
        <f t="shared" si="38"/>
        <v>-0.1049999999999045</v>
      </c>
      <c r="DM57" s="2"/>
      <c r="DN57" s="2"/>
      <c r="DO57" s="6"/>
      <c r="DP57" s="12"/>
      <c r="DQ57" s="10"/>
    </row>
    <row r="58" spans="2:121" x14ac:dyDescent="0.45">
      <c r="B58">
        <f t="shared" si="52"/>
        <v>50</v>
      </c>
      <c r="C58">
        <v>20</v>
      </c>
      <c r="D58">
        <f t="shared" si="53"/>
        <v>1000</v>
      </c>
      <c r="E58" s="19">
        <v>1000.43</v>
      </c>
      <c r="F58" s="23">
        <f t="shared" si="54"/>
        <v>19.979999999999905</v>
      </c>
      <c r="G58" s="6">
        <f t="shared" si="39"/>
        <v>0.42999999999994998</v>
      </c>
      <c r="H58" s="12">
        <f t="shared" si="55"/>
        <v>-2.0000000000095497E-2</v>
      </c>
      <c r="J58" s="20">
        <f t="shared" si="0"/>
        <v>0</v>
      </c>
      <c r="K58" s="2"/>
      <c r="L58">
        <f t="shared" si="56"/>
        <v>50</v>
      </c>
      <c r="M58">
        <v>20</v>
      </c>
      <c r="N58">
        <f t="shared" si="57"/>
        <v>1000</v>
      </c>
      <c r="O58" s="19">
        <v>1000.43</v>
      </c>
      <c r="P58" s="23">
        <f t="shared" si="58"/>
        <v>19.979999999999905</v>
      </c>
      <c r="Q58" s="6">
        <f t="shared" si="40"/>
        <v>0.42999999999994998</v>
      </c>
      <c r="R58" s="27">
        <f t="shared" si="59"/>
        <v>-2.0000000000095497E-2</v>
      </c>
      <c r="S58" s="27"/>
      <c r="T58" s="20">
        <f t="shared" si="1"/>
        <v>2.5000000000090949E-2</v>
      </c>
      <c r="U58" s="2"/>
      <c r="V58">
        <f t="shared" si="60"/>
        <v>50</v>
      </c>
      <c r="W58">
        <v>20</v>
      </c>
      <c r="X58">
        <f t="shared" si="61"/>
        <v>1000</v>
      </c>
      <c r="Y58" s="19">
        <v>1000.465</v>
      </c>
      <c r="Z58" s="23">
        <f t="shared" si="62"/>
        <v>20.004999999999995</v>
      </c>
      <c r="AA58" s="6">
        <f t="shared" si="41"/>
        <v>0.46500000000003183</v>
      </c>
      <c r="AB58" s="27">
        <f t="shared" si="63"/>
        <v>4.9999999999954525E-3</v>
      </c>
      <c r="AC58" s="27"/>
      <c r="AD58" s="20">
        <f t="shared" si="2"/>
        <v>-3.5000000000081855E-2</v>
      </c>
      <c r="AE58" s="2"/>
      <c r="AF58">
        <f t="shared" si="64"/>
        <v>50</v>
      </c>
      <c r="AG58">
        <v>20</v>
      </c>
      <c r="AH58">
        <f t="shared" si="65"/>
        <v>1000</v>
      </c>
      <c r="AI58" s="19">
        <v>1000.42</v>
      </c>
      <c r="AJ58" s="23">
        <f t="shared" si="66"/>
        <v>19.969999999999914</v>
      </c>
      <c r="AK58" s="6">
        <f t="shared" si="42"/>
        <v>0.41999999999995907</v>
      </c>
      <c r="AL58" s="27">
        <f t="shared" si="67"/>
        <v>-3.0000000000086402E-2</v>
      </c>
      <c r="AM58" s="27"/>
      <c r="AN58" s="20">
        <f t="shared" si="3"/>
        <v>1.5000000000100044E-2</v>
      </c>
      <c r="AO58" s="2"/>
      <c r="AP58">
        <f t="shared" si="68"/>
        <v>50</v>
      </c>
      <c r="AQ58">
        <v>20</v>
      </c>
      <c r="AR58">
        <f t="shared" si="69"/>
        <v>1000</v>
      </c>
      <c r="AS58" s="19">
        <v>1000.415</v>
      </c>
      <c r="AT58" s="23">
        <f t="shared" si="70"/>
        <v>19.985000000000014</v>
      </c>
      <c r="AU58" s="6">
        <f t="shared" si="43"/>
        <v>0.41499999999996362</v>
      </c>
      <c r="AV58" s="27">
        <f t="shared" si="71"/>
        <v>-1.4999999999986358E-2</v>
      </c>
      <c r="AW58" s="27"/>
      <c r="AX58" s="27"/>
      <c r="AY58" s="2">
        <f t="shared" si="44"/>
        <v>1000.432</v>
      </c>
      <c r="AZ58" s="23">
        <f t="shared" si="45"/>
        <v>19.983999999999945</v>
      </c>
      <c r="BA58" s="6">
        <f t="shared" si="46"/>
        <v>0.43199999999997091</v>
      </c>
      <c r="BB58" s="27">
        <f t="shared" si="47"/>
        <v>-1.6000000000053659E-2</v>
      </c>
      <c r="BC58" s="27"/>
      <c r="BD58" s="36"/>
      <c r="BF58">
        <f t="shared" si="4"/>
        <v>27</v>
      </c>
      <c r="BG58">
        <f t="shared" si="5"/>
        <v>-20</v>
      </c>
      <c r="BH58">
        <f t="shared" si="6"/>
        <v>980</v>
      </c>
      <c r="BI58" s="19">
        <v>-539.64</v>
      </c>
      <c r="BJ58" s="2">
        <f t="shared" si="7"/>
        <v>980.36000000000035</v>
      </c>
      <c r="BK58" s="23">
        <f t="shared" si="8"/>
        <v>-20.014999999999986</v>
      </c>
      <c r="BL58" s="6">
        <f t="shared" si="9"/>
        <v>-0.3600000000003547</v>
      </c>
      <c r="BM58" s="12">
        <f t="shared" si="10"/>
        <v>1.4999999999986358E-2</v>
      </c>
      <c r="BO58" s="20">
        <f t="shared" si="48"/>
        <v>0</v>
      </c>
      <c r="BQ58">
        <f t="shared" si="11"/>
        <v>27</v>
      </c>
      <c r="BR58">
        <f t="shared" si="12"/>
        <v>-20</v>
      </c>
      <c r="BS58">
        <f t="shared" si="13"/>
        <v>980</v>
      </c>
      <c r="BT58" s="19">
        <v>-539.66999999999996</v>
      </c>
      <c r="BU58" s="2">
        <f t="shared" si="14"/>
        <v>980.32999999999959</v>
      </c>
      <c r="BV58" s="23">
        <f t="shared" si="72"/>
        <v>-20.014999999999986</v>
      </c>
      <c r="BW58" s="6">
        <f t="shared" si="16"/>
        <v>-0.32999999999958618</v>
      </c>
      <c r="BX58" s="12">
        <f t="shared" si="17"/>
        <v>1.4999999999986358E-2</v>
      </c>
      <c r="BY58" s="12"/>
      <c r="BZ58" s="20">
        <f t="shared" si="49"/>
        <v>8.500000000003638E-2</v>
      </c>
      <c r="CB58">
        <f t="shared" si="18"/>
        <v>27</v>
      </c>
      <c r="CC58">
        <f t="shared" si="19"/>
        <v>-20</v>
      </c>
      <c r="CD58">
        <f t="shared" si="20"/>
        <v>980</v>
      </c>
      <c r="CE58" s="19">
        <v>-539.66</v>
      </c>
      <c r="CF58" s="2">
        <f t="shared" si="21"/>
        <v>980.34</v>
      </c>
      <c r="CG58" s="23">
        <f t="shared" si="73"/>
        <v>-19.92999999999995</v>
      </c>
      <c r="CH58" s="6">
        <f t="shared" si="23"/>
        <v>-0.34000000000003183</v>
      </c>
      <c r="CI58" s="12">
        <f t="shared" si="24"/>
        <v>-7.0000000000050022E-2</v>
      </c>
      <c r="CK58" s="20">
        <f t="shared" si="50"/>
        <v>-6.0000000000059117E-2</v>
      </c>
      <c r="CM58">
        <f t="shared" si="25"/>
        <v>27</v>
      </c>
      <c r="CN58">
        <f t="shared" si="26"/>
        <v>-20</v>
      </c>
      <c r="CO58">
        <f t="shared" si="27"/>
        <v>980</v>
      </c>
      <c r="CP58" s="19">
        <v>-539.67499999999995</v>
      </c>
      <c r="CQ58" s="2">
        <f t="shared" si="28"/>
        <v>980.32499999999982</v>
      </c>
      <c r="CR58" s="23">
        <f t="shared" si="74"/>
        <v>-19.990000000000009</v>
      </c>
      <c r="CS58" s="6">
        <f t="shared" si="30"/>
        <v>-0.3249999999998181</v>
      </c>
      <c r="CT58" s="12">
        <f t="shared" si="31"/>
        <v>-9.9999999999909051E-3</v>
      </c>
      <c r="CV58" s="20">
        <f t="shared" si="51"/>
        <v>-2.9999999999972715E-2</v>
      </c>
      <c r="CX58">
        <f t="shared" si="32"/>
        <v>27</v>
      </c>
      <c r="CY58">
        <f t="shared" si="33"/>
        <v>-20</v>
      </c>
      <c r="CZ58">
        <f t="shared" si="34"/>
        <v>980</v>
      </c>
      <c r="DA58" s="19">
        <v>-539.67499999999995</v>
      </c>
      <c r="DB58" s="2">
        <f t="shared" si="35"/>
        <v>980.32499999999959</v>
      </c>
      <c r="DC58" s="23">
        <f t="shared" si="75"/>
        <v>-20.019999999999982</v>
      </c>
      <c r="DD58" s="6">
        <f t="shared" si="37"/>
        <v>-0.32499999999959073</v>
      </c>
      <c r="DE58" s="12">
        <f t="shared" si="38"/>
        <v>1.999999999998181E-2</v>
      </c>
      <c r="DM58" s="2"/>
      <c r="DN58" s="2"/>
      <c r="DO58" s="6"/>
      <c r="DP58" s="12"/>
      <c r="DQ58" s="10"/>
    </row>
    <row r="59" spans="2:121" x14ac:dyDescent="0.45">
      <c r="B59">
        <f t="shared" si="52"/>
        <v>51</v>
      </c>
      <c r="C59">
        <v>20</v>
      </c>
      <c r="D59">
        <f t="shared" si="53"/>
        <v>1020</v>
      </c>
      <c r="E59" s="19">
        <v>1020.415</v>
      </c>
      <c r="F59" s="23">
        <f t="shared" si="54"/>
        <v>19.985000000000014</v>
      </c>
      <c r="G59" s="6">
        <f t="shared" si="39"/>
        <v>0.41499999999996362</v>
      </c>
      <c r="H59" s="12">
        <f t="shared" si="55"/>
        <v>-1.4999999999986358E-2</v>
      </c>
      <c r="J59" s="20">
        <f t="shared" si="0"/>
        <v>-9.9999999999909051E-3</v>
      </c>
      <c r="K59" s="2"/>
      <c r="L59">
        <f t="shared" si="56"/>
        <v>51</v>
      </c>
      <c r="M59">
        <v>20</v>
      </c>
      <c r="N59">
        <f t="shared" si="57"/>
        <v>1020</v>
      </c>
      <c r="O59" s="19">
        <v>1020.405</v>
      </c>
      <c r="P59" s="23">
        <f t="shared" si="58"/>
        <v>19.975000000000023</v>
      </c>
      <c r="Q59" s="6">
        <f t="shared" si="40"/>
        <v>0.40499999999997272</v>
      </c>
      <c r="R59" s="27">
        <f t="shared" si="59"/>
        <v>-2.4999999999977263E-2</v>
      </c>
      <c r="S59" s="27"/>
      <c r="T59" s="20">
        <f t="shared" si="1"/>
        <v>-2.5000000000090949E-2</v>
      </c>
      <c r="U59" s="2"/>
      <c r="V59">
        <f t="shared" si="60"/>
        <v>51</v>
      </c>
      <c r="W59">
        <v>20</v>
      </c>
      <c r="X59">
        <f t="shared" si="61"/>
        <v>1020</v>
      </c>
      <c r="Y59" s="19">
        <v>1020.415</v>
      </c>
      <c r="Z59" s="23">
        <f t="shared" si="62"/>
        <v>19.949999999999932</v>
      </c>
      <c r="AA59" s="6">
        <f t="shared" si="41"/>
        <v>0.41499999999996362</v>
      </c>
      <c r="AB59" s="27">
        <f t="shared" si="63"/>
        <v>-5.0000000000068212E-2</v>
      </c>
      <c r="AC59" s="27"/>
      <c r="AD59" s="20">
        <f t="shared" si="2"/>
        <v>5.5000000000063665E-2</v>
      </c>
      <c r="AE59" s="2"/>
      <c r="AF59">
        <f t="shared" si="64"/>
        <v>51</v>
      </c>
      <c r="AG59">
        <v>20</v>
      </c>
      <c r="AH59">
        <f t="shared" si="65"/>
        <v>1020</v>
      </c>
      <c r="AI59" s="19">
        <v>1020.425</v>
      </c>
      <c r="AJ59" s="23">
        <f t="shared" si="66"/>
        <v>20.004999999999995</v>
      </c>
      <c r="AK59" s="6">
        <f t="shared" si="42"/>
        <v>0.42499999999995453</v>
      </c>
      <c r="AL59" s="27">
        <f t="shared" si="67"/>
        <v>4.9999999999954525E-3</v>
      </c>
      <c r="AM59" s="27"/>
      <c r="AN59" s="20">
        <f t="shared" si="3"/>
        <v>-3.4999999999968168E-2</v>
      </c>
      <c r="AO59" s="2"/>
      <c r="AP59">
        <f t="shared" si="68"/>
        <v>51</v>
      </c>
      <c r="AQ59">
        <v>20</v>
      </c>
      <c r="AR59">
        <f t="shared" si="69"/>
        <v>1020</v>
      </c>
      <c r="AS59" s="19">
        <v>1020.385</v>
      </c>
      <c r="AT59" s="23">
        <f t="shared" si="70"/>
        <v>19.970000000000027</v>
      </c>
      <c r="AU59" s="6">
        <f t="shared" si="43"/>
        <v>0.38499999999999091</v>
      </c>
      <c r="AV59" s="27">
        <f t="shared" si="71"/>
        <v>-2.9999999999972715E-2</v>
      </c>
      <c r="AW59" s="27"/>
      <c r="AX59" s="27"/>
      <c r="AY59" s="2">
        <f t="shared" si="44"/>
        <v>1020.409</v>
      </c>
      <c r="AZ59" s="23">
        <f t="shared" si="45"/>
        <v>19.976999999999997</v>
      </c>
      <c r="BA59" s="6">
        <f t="shared" si="46"/>
        <v>0.40899999999996905</v>
      </c>
      <c r="BB59" s="27">
        <f t="shared" si="47"/>
        <v>-2.3000000000001818E-2</v>
      </c>
      <c r="BC59" s="27"/>
      <c r="BD59" s="36"/>
      <c r="BF59">
        <f t="shared" si="4"/>
        <v>26</v>
      </c>
      <c r="BG59">
        <f t="shared" si="5"/>
        <v>-20</v>
      </c>
      <c r="BH59">
        <f t="shared" si="6"/>
        <v>1000</v>
      </c>
      <c r="BI59" s="19">
        <v>-519.625</v>
      </c>
      <c r="BJ59" s="2">
        <f t="shared" si="7"/>
        <v>1000.3750000000003</v>
      </c>
      <c r="BK59" s="23">
        <f t="shared" si="8"/>
        <v>-20.004999999999995</v>
      </c>
      <c r="BL59" s="6">
        <f t="shared" si="9"/>
        <v>-0.37500000000034106</v>
      </c>
      <c r="BM59" s="12">
        <f t="shared" si="10"/>
        <v>4.9999999999954525E-3</v>
      </c>
      <c r="BO59" s="20">
        <f t="shared" si="48"/>
        <v>0</v>
      </c>
      <c r="BQ59">
        <f t="shared" si="11"/>
        <v>26</v>
      </c>
      <c r="BR59">
        <f t="shared" si="12"/>
        <v>-20</v>
      </c>
      <c r="BS59">
        <f t="shared" si="13"/>
        <v>1000</v>
      </c>
      <c r="BT59" s="19">
        <v>-519.65499999999997</v>
      </c>
      <c r="BU59" s="2">
        <f t="shared" si="14"/>
        <v>1000.3449999999996</v>
      </c>
      <c r="BV59" s="23">
        <f t="shared" si="72"/>
        <v>-20.004999999999995</v>
      </c>
      <c r="BW59" s="6">
        <f t="shared" si="16"/>
        <v>-0.34499999999957254</v>
      </c>
      <c r="BX59" s="12">
        <f t="shared" si="17"/>
        <v>4.9999999999954525E-3</v>
      </c>
      <c r="BY59" s="12"/>
      <c r="BZ59" s="20">
        <f t="shared" si="49"/>
        <v>-2.5000000000034106E-2</v>
      </c>
      <c r="CB59">
        <f t="shared" si="18"/>
        <v>26</v>
      </c>
      <c r="CC59">
        <f t="shared" si="19"/>
        <v>-20</v>
      </c>
      <c r="CD59">
        <f t="shared" si="20"/>
        <v>1000</v>
      </c>
      <c r="CE59" s="19">
        <v>-519.73</v>
      </c>
      <c r="CF59" s="2">
        <f t="shared" si="21"/>
        <v>1000.27</v>
      </c>
      <c r="CG59" s="23">
        <f t="shared" si="73"/>
        <v>-20.03000000000003</v>
      </c>
      <c r="CH59" s="6">
        <f t="shared" si="23"/>
        <v>-0.26999999999998181</v>
      </c>
      <c r="CI59" s="12">
        <f t="shared" si="24"/>
        <v>3.0000000000029559E-2</v>
      </c>
      <c r="CK59" s="20">
        <f t="shared" si="50"/>
        <v>3.5000000000081855E-2</v>
      </c>
      <c r="CM59">
        <f t="shared" si="25"/>
        <v>26</v>
      </c>
      <c r="CN59">
        <f t="shared" si="26"/>
        <v>-20</v>
      </c>
      <c r="CO59">
        <f t="shared" si="27"/>
        <v>1000</v>
      </c>
      <c r="CP59" s="19">
        <v>-519.68499999999995</v>
      </c>
      <c r="CQ59" s="2">
        <f t="shared" si="28"/>
        <v>1000.3149999999998</v>
      </c>
      <c r="CR59" s="23">
        <f t="shared" si="74"/>
        <v>-19.994999999999948</v>
      </c>
      <c r="CS59" s="6">
        <f t="shared" si="30"/>
        <v>-0.3149999999998272</v>
      </c>
      <c r="CT59" s="12">
        <f t="shared" si="31"/>
        <v>-5.0000000000522959E-3</v>
      </c>
      <c r="CV59" s="20">
        <f t="shared" si="51"/>
        <v>2.9999999999972715E-2</v>
      </c>
      <c r="CX59">
        <f t="shared" si="32"/>
        <v>26</v>
      </c>
      <c r="CY59">
        <f t="shared" si="33"/>
        <v>-20</v>
      </c>
      <c r="CZ59">
        <f t="shared" si="34"/>
        <v>1000</v>
      </c>
      <c r="DA59" s="19">
        <v>-519.65499999999997</v>
      </c>
      <c r="DB59" s="2">
        <f t="shared" si="35"/>
        <v>1000.3449999999996</v>
      </c>
      <c r="DC59" s="23">
        <f t="shared" si="75"/>
        <v>-19.964999999999975</v>
      </c>
      <c r="DD59" s="6">
        <f t="shared" si="37"/>
        <v>-0.34499999999957254</v>
      </c>
      <c r="DE59" s="12">
        <f t="shared" si="38"/>
        <v>-3.5000000000025011E-2</v>
      </c>
      <c r="DM59" s="2"/>
      <c r="DN59" s="2"/>
      <c r="DO59" s="6"/>
      <c r="DP59" s="2"/>
      <c r="DQ59" s="10"/>
    </row>
    <row r="60" spans="2:121" x14ac:dyDescent="0.45">
      <c r="B60">
        <f t="shared" si="52"/>
        <v>52</v>
      </c>
      <c r="C60">
        <v>20</v>
      </c>
      <c r="D60">
        <f t="shared" si="53"/>
        <v>1040</v>
      </c>
      <c r="E60" s="19">
        <v>1040.3800000000001</v>
      </c>
      <c r="F60" s="23">
        <f t="shared" si="54"/>
        <v>19.965000000000146</v>
      </c>
      <c r="G60" s="6">
        <f t="shared" si="39"/>
        <v>0.38000000000010914</v>
      </c>
      <c r="H60" s="12">
        <f t="shared" si="55"/>
        <v>-3.4999999999854481E-2</v>
      </c>
      <c r="J60" s="20">
        <f t="shared" si="0"/>
        <v>-2.2737367544323206E-13</v>
      </c>
      <c r="K60" s="2"/>
      <c r="L60">
        <f t="shared" si="56"/>
        <v>52</v>
      </c>
      <c r="M60">
        <v>20</v>
      </c>
      <c r="N60">
        <f t="shared" si="57"/>
        <v>1040</v>
      </c>
      <c r="O60" s="19">
        <v>1040.3699999999999</v>
      </c>
      <c r="P60" s="23">
        <f t="shared" si="58"/>
        <v>19.964999999999918</v>
      </c>
      <c r="Q60" s="6">
        <f t="shared" si="40"/>
        <v>0.36999999999989086</v>
      </c>
      <c r="R60" s="27">
        <f t="shared" si="59"/>
        <v>-3.5000000000081855E-2</v>
      </c>
      <c r="S60" s="27"/>
      <c r="T60" s="20">
        <f t="shared" si="1"/>
        <v>4.0000000000190994E-2</v>
      </c>
      <c r="U60" s="2"/>
      <c r="V60">
        <f t="shared" si="60"/>
        <v>52</v>
      </c>
      <c r="W60">
        <v>20</v>
      </c>
      <c r="X60">
        <f t="shared" si="61"/>
        <v>1040</v>
      </c>
      <c r="Y60" s="19">
        <v>1040.42</v>
      </c>
      <c r="Z60" s="23">
        <f t="shared" si="62"/>
        <v>20.005000000000109</v>
      </c>
      <c r="AA60" s="6">
        <f t="shared" si="41"/>
        <v>0.42000000000007276</v>
      </c>
      <c r="AB60" s="27">
        <f t="shared" si="63"/>
        <v>5.0000000001091394E-3</v>
      </c>
      <c r="AC60" s="27"/>
      <c r="AD60" s="20">
        <f t="shared" si="2"/>
        <v>-2.5000000000090949E-2</v>
      </c>
      <c r="AE60" s="2"/>
      <c r="AF60">
        <f t="shared" si="64"/>
        <v>52</v>
      </c>
      <c r="AG60">
        <v>20</v>
      </c>
      <c r="AH60">
        <f t="shared" si="65"/>
        <v>1040</v>
      </c>
      <c r="AI60" s="19">
        <v>1040.405</v>
      </c>
      <c r="AJ60" s="23">
        <f t="shared" si="66"/>
        <v>19.980000000000018</v>
      </c>
      <c r="AK60" s="6">
        <f t="shared" si="42"/>
        <v>0.40499999999997272</v>
      </c>
      <c r="AL60" s="27">
        <f t="shared" si="67"/>
        <v>-1.999999999998181E-2</v>
      </c>
      <c r="AM60" s="27"/>
      <c r="AN60" s="20">
        <f t="shared" si="3"/>
        <v>1.999999999998181E-2</v>
      </c>
      <c r="AO60" s="2"/>
      <c r="AP60">
        <f t="shared" si="68"/>
        <v>52</v>
      </c>
      <c r="AQ60">
        <v>20</v>
      </c>
      <c r="AR60">
        <f t="shared" si="69"/>
        <v>1040</v>
      </c>
      <c r="AS60" s="19">
        <v>1040.385</v>
      </c>
      <c r="AT60" s="23">
        <f t="shared" si="70"/>
        <v>20</v>
      </c>
      <c r="AU60" s="6">
        <f t="shared" si="43"/>
        <v>0.38499999999999091</v>
      </c>
      <c r="AV60" s="27">
        <f t="shared" si="71"/>
        <v>0</v>
      </c>
      <c r="AW60" s="27"/>
      <c r="AX60" s="27"/>
      <c r="AY60" s="2">
        <f t="shared" si="44"/>
        <v>1040.3920000000001</v>
      </c>
      <c r="AZ60" s="23">
        <f t="shared" si="45"/>
        <v>19.98300000000004</v>
      </c>
      <c r="BA60" s="6">
        <f t="shared" si="46"/>
        <v>0.39200000000000729</v>
      </c>
      <c r="BB60" s="27">
        <f t="shared" si="47"/>
        <v>-1.6999999999961803E-2</v>
      </c>
      <c r="BC60" s="27"/>
      <c r="BD60" s="36"/>
      <c r="BF60">
        <f t="shared" si="4"/>
        <v>25</v>
      </c>
      <c r="BG60">
        <f t="shared" si="5"/>
        <v>-20</v>
      </c>
      <c r="BH60">
        <f t="shared" si="6"/>
        <v>1020</v>
      </c>
      <c r="BI60" s="19">
        <v>-499.62</v>
      </c>
      <c r="BJ60" s="2">
        <f t="shared" si="7"/>
        <v>1020.3800000000003</v>
      </c>
      <c r="BK60" s="23">
        <f t="shared" si="8"/>
        <v>-20.035000000000025</v>
      </c>
      <c r="BL60" s="6">
        <f t="shared" si="9"/>
        <v>-0.38000000000033651</v>
      </c>
      <c r="BM60" s="12">
        <f t="shared" si="10"/>
        <v>3.5000000000025011E-2</v>
      </c>
      <c r="BO60" s="20">
        <f t="shared" si="48"/>
        <v>-1.9999999999924967E-2</v>
      </c>
      <c r="BQ60">
        <f t="shared" si="11"/>
        <v>25</v>
      </c>
      <c r="BR60">
        <f t="shared" si="12"/>
        <v>-20</v>
      </c>
      <c r="BS60">
        <f t="shared" si="13"/>
        <v>1020</v>
      </c>
      <c r="BT60" s="19">
        <v>-499.65</v>
      </c>
      <c r="BU60" s="2">
        <f t="shared" si="14"/>
        <v>1020.3499999999996</v>
      </c>
      <c r="BV60" s="23">
        <f t="shared" si="72"/>
        <v>-20.05499999999995</v>
      </c>
      <c r="BW60" s="6">
        <f t="shared" si="16"/>
        <v>-0.34999999999956799</v>
      </c>
      <c r="BX60" s="12">
        <f t="shared" si="17"/>
        <v>5.4999999999949978E-2</v>
      </c>
      <c r="BY60" s="12"/>
      <c r="BZ60" s="20">
        <f t="shared" si="49"/>
        <v>-3.0000000000029559E-2</v>
      </c>
      <c r="CB60">
        <f t="shared" si="18"/>
        <v>25</v>
      </c>
      <c r="CC60">
        <f t="shared" si="19"/>
        <v>-20</v>
      </c>
      <c r="CD60">
        <f t="shared" si="20"/>
        <v>1020</v>
      </c>
      <c r="CE60" s="19">
        <v>-499.7</v>
      </c>
      <c r="CF60" s="2">
        <f t="shared" si="21"/>
        <v>1020.3</v>
      </c>
      <c r="CG60" s="23">
        <f t="shared" si="73"/>
        <v>-20.08499999999998</v>
      </c>
      <c r="CH60" s="6">
        <f t="shared" si="23"/>
        <v>-0.29999999999995453</v>
      </c>
      <c r="CI60" s="12">
        <f t="shared" si="24"/>
        <v>8.4999999999979536E-2</v>
      </c>
      <c r="CK60" s="20">
        <f t="shared" si="50"/>
        <v>-9.9999999999909051E-3</v>
      </c>
      <c r="CM60">
        <f t="shared" si="25"/>
        <v>25</v>
      </c>
      <c r="CN60">
        <f t="shared" si="26"/>
        <v>-20</v>
      </c>
      <c r="CO60">
        <f t="shared" si="27"/>
        <v>1020</v>
      </c>
      <c r="CP60" s="19">
        <v>-499.69</v>
      </c>
      <c r="CQ60" s="2">
        <f t="shared" si="28"/>
        <v>1020.3099999999997</v>
      </c>
      <c r="CR60" s="23">
        <f t="shared" si="74"/>
        <v>-20.09499999999997</v>
      </c>
      <c r="CS60" s="6">
        <f t="shared" si="30"/>
        <v>-0.30999999999971806</v>
      </c>
      <c r="CT60" s="12">
        <f t="shared" si="31"/>
        <v>9.4999999999970441E-2</v>
      </c>
      <c r="CV60" s="20">
        <f t="shared" si="51"/>
        <v>0</v>
      </c>
      <c r="CX60">
        <f t="shared" si="32"/>
        <v>25</v>
      </c>
      <c r="CY60">
        <f t="shared" si="33"/>
        <v>-20</v>
      </c>
      <c r="CZ60">
        <f t="shared" si="34"/>
        <v>1020</v>
      </c>
      <c r="DA60" s="19">
        <v>-499.69</v>
      </c>
      <c r="DB60" s="2">
        <f t="shared" si="35"/>
        <v>1020.3099999999995</v>
      </c>
      <c r="DC60" s="23">
        <f t="shared" si="75"/>
        <v>-20.09499999999997</v>
      </c>
      <c r="DD60" s="6">
        <f t="shared" si="37"/>
        <v>-0.30999999999949068</v>
      </c>
      <c r="DE60" s="12">
        <f t="shared" si="38"/>
        <v>9.4999999999970441E-2</v>
      </c>
      <c r="DM60" s="2"/>
      <c r="DN60" s="2"/>
      <c r="DO60" s="6"/>
      <c r="DP60" s="2"/>
      <c r="DQ60" s="10"/>
    </row>
    <row r="61" spans="2:121" x14ac:dyDescent="0.45">
      <c r="B61">
        <f t="shared" si="52"/>
        <v>53</v>
      </c>
      <c r="C61">
        <v>20</v>
      </c>
      <c r="D61">
        <f t="shared" si="53"/>
        <v>1060</v>
      </c>
      <c r="E61" s="19">
        <v>1060.395</v>
      </c>
      <c r="F61" s="23">
        <f t="shared" si="54"/>
        <v>20.014999999999873</v>
      </c>
      <c r="G61" s="6">
        <f t="shared" si="39"/>
        <v>0.39499999999998181</v>
      </c>
      <c r="H61" s="12">
        <f t="shared" si="55"/>
        <v>1.4999999999872671E-2</v>
      </c>
      <c r="J61" s="20">
        <f t="shared" si="0"/>
        <v>2.2737367544323206E-13</v>
      </c>
      <c r="K61" s="2"/>
      <c r="L61">
        <f t="shared" si="56"/>
        <v>53</v>
      </c>
      <c r="M61">
        <v>20</v>
      </c>
      <c r="N61">
        <f t="shared" si="57"/>
        <v>1060</v>
      </c>
      <c r="O61" s="19">
        <v>1060.385</v>
      </c>
      <c r="P61" s="23">
        <f t="shared" si="58"/>
        <v>20.0150000000001</v>
      </c>
      <c r="Q61" s="6">
        <f t="shared" si="40"/>
        <v>0.38499999999999091</v>
      </c>
      <c r="R61" s="27">
        <f t="shared" si="59"/>
        <v>1.5000000000100044E-2</v>
      </c>
      <c r="S61" s="27"/>
      <c r="T61" s="20">
        <f t="shared" si="1"/>
        <v>-2.5000000000090949E-2</v>
      </c>
      <c r="U61" s="2"/>
      <c r="V61">
        <f t="shared" si="60"/>
        <v>53</v>
      </c>
      <c r="W61">
        <v>20</v>
      </c>
      <c r="X61">
        <f t="shared" si="61"/>
        <v>1060</v>
      </c>
      <c r="Y61" s="19">
        <v>1060.4100000000001</v>
      </c>
      <c r="Z61" s="23">
        <f t="shared" si="62"/>
        <v>19.990000000000009</v>
      </c>
      <c r="AA61" s="6">
        <f t="shared" si="41"/>
        <v>0.41000000000008185</v>
      </c>
      <c r="AB61" s="27">
        <f t="shared" si="63"/>
        <v>-9.9999999999909051E-3</v>
      </c>
      <c r="AC61" s="27"/>
      <c r="AD61" s="20">
        <f t="shared" si="2"/>
        <v>3.999999999996362E-2</v>
      </c>
      <c r="AE61" s="2"/>
      <c r="AF61">
        <f t="shared" si="64"/>
        <v>53</v>
      </c>
      <c r="AG61">
        <v>20</v>
      </c>
      <c r="AH61">
        <f t="shared" si="65"/>
        <v>1060</v>
      </c>
      <c r="AI61" s="19">
        <v>1060.4349999999999</v>
      </c>
      <c r="AJ61" s="23">
        <f t="shared" si="66"/>
        <v>20.029999999999973</v>
      </c>
      <c r="AK61" s="6">
        <f t="shared" si="42"/>
        <v>0.43499999999994543</v>
      </c>
      <c r="AL61" s="27">
        <f t="shared" si="67"/>
        <v>2.9999999999972715E-2</v>
      </c>
      <c r="AM61" s="27"/>
      <c r="AN61" s="20">
        <f t="shared" si="3"/>
        <v>-2.4999999999863576E-2</v>
      </c>
      <c r="AO61" s="2"/>
      <c r="AP61">
        <f t="shared" si="68"/>
        <v>53</v>
      </c>
      <c r="AQ61">
        <v>20</v>
      </c>
      <c r="AR61">
        <f t="shared" si="69"/>
        <v>1060</v>
      </c>
      <c r="AS61" s="19">
        <v>1060.3900000000001</v>
      </c>
      <c r="AT61" s="23">
        <f t="shared" si="70"/>
        <v>20.005000000000109</v>
      </c>
      <c r="AU61" s="6">
        <f t="shared" si="43"/>
        <v>0.39000000000010004</v>
      </c>
      <c r="AV61" s="27">
        <f t="shared" si="71"/>
        <v>5.0000000001091394E-3</v>
      </c>
      <c r="AW61" s="27"/>
      <c r="AX61" s="27"/>
      <c r="AY61" s="2">
        <f t="shared" si="44"/>
        <v>1060.403</v>
      </c>
      <c r="AZ61" s="23">
        <f t="shared" si="45"/>
        <v>20.011000000000013</v>
      </c>
      <c r="BA61" s="6">
        <f t="shared" si="46"/>
        <v>0.40300000000002001</v>
      </c>
      <c r="BB61" s="27">
        <f t="shared" si="47"/>
        <v>1.1000000000012732E-2</v>
      </c>
      <c r="BC61" s="27"/>
      <c r="BD61" s="36"/>
      <c r="BF61">
        <f t="shared" si="4"/>
        <v>24</v>
      </c>
      <c r="BG61">
        <f t="shared" si="5"/>
        <v>-20</v>
      </c>
      <c r="BH61">
        <f t="shared" si="6"/>
        <v>1040</v>
      </c>
      <c r="BI61" s="19">
        <v>-479.58499999999998</v>
      </c>
      <c r="BJ61" s="2">
        <f t="shared" si="7"/>
        <v>1040.4150000000004</v>
      </c>
      <c r="BK61" s="23">
        <f t="shared" si="8"/>
        <v>-20.079999999999984</v>
      </c>
      <c r="BL61" s="6">
        <f t="shared" si="9"/>
        <v>-0.41500000000041837</v>
      </c>
      <c r="BM61" s="12">
        <f t="shared" si="10"/>
        <v>7.9999999999984084E-2</v>
      </c>
      <c r="BO61" s="20">
        <f t="shared" si="48"/>
        <v>4.9999999999386091E-3</v>
      </c>
      <c r="BQ61">
        <f t="shared" si="11"/>
        <v>24</v>
      </c>
      <c r="BR61">
        <f t="shared" si="12"/>
        <v>-20</v>
      </c>
      <c r="BS61">
        <f t="shared" si="13"/>
        <v>1040</v>
      </c>
      <c r="BT61" s="19">
        <v>-479.59500000000003</v>
      </c>
      <c r="BU61" s="2">
        <f t="shared" si="14"/>
        <v>1040.4049999999995</v>
      </c>
      <c r="BV61" s="23">
        <f t="shared" si="72"/>
        <v>-20.075000000000045</v>
      </c>
      <c r="BW61" s="6">
        <f t="shared" si="16"/>
        <v>-0.40499999999951797</v>
      </c>
      <c r="BX61" s="12">
        <f t="shared" si="17"/>
        <v>7.5000000000045475E-2</v>
      </c>
      <c r="BY61" s="12"/>
      <c r="BZ61" s="20">
        <f t="shared" si="49"/>
        <v>4.0000000000020464E-2</v>
      </c>
      <c r="CB61">
        <f t="shared" si="18"/>
        <v>24</v>
      </c>
      <c r="CC61">
        <f t="shared" si="19"/>
        <v>-20</v>
      </c>
      <c r="CD61">
        <f t="shared" si="20"/>
        <v>1040</v>
      </c>
      <c r="CE61" s="19">
        <v>-479.61500000000001</v>
      </c>
      <c r="CF61" s="2">
        <f t="shared" si="21"/>
        <v>1040.385</v>
      </c>
      <c r="CG61" s="23">
        <f t="shared" si="73"/>
        <v>-20.035000000000025</v>
      </c>
      <c r="CH61" s="6">
        <f t="shared" si="23"/>
        <v>-0.38499999999999091</v>
      </c>
      <c r="CI61" s="12">
        <f t="shared" si="24"/>
        <v>3.5000000000025011E-2</v>
      </c>
      <c r="CK61" s="20">
        <f t="shared" si="50"/>
        <v>7.4999999999988631E-2</v>
      </c>
      <c r="CM61">
        <f t="shared" si="25"/>
        <v>24</v>
      </c>
      <c r="CN61">
        <f t="shared" si="26"/>
        <v>-20</v>
      </c>
      <c r="CO61">
        <f t="shared" si="27"/>
        <v>1040</v>
      </c>
      <c r="CP61" s="19">
        <v>-479.59500000000003</v>
      </c>
      <c r="CQ61" s="2">
        <f t="shared" si="28"/>
        <v>1040.4049999999997</v>
      </c>
      <c r="CR61" s="23">
        <f t="shared" si="74"/>
        <v>-19.960000000000036</v>
      </c>
      <c r="CS61" s="6">
        <f t="shared" si="30"/>
        <v>-0.40499999999974534</v>
      </c>
      <c r="CT61" s="12">
        <f t="shared" si="31"/>
        <v>-3.999999999996362E-2</v>
      </c>
      <c r="CV61" s="20">
        <f t="shared" si="51"/>
        <v>-9.4999999999970441E-2</v>
      </c>
      <c r="CX61">
        <f t="shared" si="32"/>
        <v>24</v>
      </c>
      <c r="CY61">
        <f t="shared" si="33"/>
        <v>-20</v>
      </c>
      <c r="CZ61">
        <f t="shared" si="34"/>
        <v>1040</v>
      </c>
      <c r="DA61" s="19">
        <v>-479.59500000000003</v>
      </c>
      <c r="DB61" s="2">
        <f t="shared" si="35"/>
        <v>1040.4049999999995</v>
      </c>
      <c r="DC61" s="23">
        <f t="shared" si="75"/>
        <v>-20.055000000000007</v>
      </c>
      <c r="DD61" s="6">
        <f t="shared" si="37"/>
        <v>-0.40499999999951797</v>
      </c>
      <c r="DE61" s="12">
        <f t="shared" si="38"/>
        <v>5.5000000000006821E-2</v>
      </c>
      <c r="DM61" s="2"/>
      <c r="DN61" s="2"/>
      <c r="DO61" s="6"/>
      <c r="DP61" s="2"/>
      <c r="DQ61" s="10"/>
    </row>
    <row r="62" spans="2:121" x14ac:dyDescent="0.45">
      <c r="B62">
        <f t="shared" si="52"/>
        <v>54</v>
      </c>
      <c r="C62">
        <v>20</v>
      </c>
      <c r="D62">
        <f t="shared" si="53"/>
        <v>1080</v>
      </c>
      <c r="E62" s="19">
        <v>1080.4349999999999</v>
      </c>
      <c r="F62" s="23">
        <f t="shared" si="54"/>
        <v>20.039999999999964</v>
      </c>
      <c r="G62" s="6">
        <f t="shared" si="39"/>
        <v>0.43499999999994543</v>
      </c>
      <c r="H62" s="12">
        <f t="shared" si="55"/>
        <v>3.999999999996362E-2</v>
      </c>
      <c r="J62" s="20">
        <f t="shared" si="0"/>
        <v>9.9999999999909051E-3</v>
      </c>
      <c r="K62" s="2"/>
      <c r="L62">
        <f t="shared" si="56"/>
        <v>54</v>
      </c>
      <c r="M62">
        <v>20</v>
      </c>
      <c r="N62">
        <f t="shared" si="57"/>
        <v>1080</v>
      </c>
      <c r="O62" s="19">
        <v>1080.4349999999999</v>
      </c>
      <c r="P62" s="23">
        <f t="shared" si="58"/>
        <v>20.049999999999955</v>
      </c>
      <c r="Q62" s="6">
        <f t="shared" si="40"/>
        <v>0.43499999999994543</v>
      </c>
      <c r="R62" s="27">
        <f t="shared" si="59"/>
        <v>4.9999999999954525E-2</v>
      </c>
      <c r="S62" s="27"/>
      <c r="T62" s="20">
        <f t="shared" si="1"/>
        <v>-9.9999999999909051E-3</v>
      </c>
      <c r="U62" s="2"/>
      <c r="V62">
        <f t="shared" si="60"/>
        <v>54</v>
      </c>
      <c r="W62">
        <v>20</v>
      </c>
      <c r="X62">
        <f t="shared" si="61"/>
        <v>1080</v>
      </c>
      <c r="Y62" s="19">
        <v>1080.45</v>
      </c>
      <c r="Z62" s="23">
        <f t="shared" si="62"/>
        <v>20.039999999999964</v>
      </c>
      <c r="AA62" s="6">
        <f t="shared" si="41"/>
        <v>0.45000000000004547</v>
      </c>
      <c r="AB62" s="27">
        <f t="shared" si="63"/>
        <v>3.999999999996362E-2</v>
      </c>
      <c r="AC62" s="27"/>
      <c r="AD62" s="20">
        <f t="shared" si="2"/>
        <v>0</v>
      </c>
      <c r="AE62" s="2"/>
      <c r="AF62">
        <f t="shared" si="64"/>
        <v>54</v>
      </c>
      <c r="AG62">
        <v>20</v>
      </c>
      <c r="AH62">
        <f t="shared" si="65"/>
        <v>1080</v>
      </c>
      <c r="AI62" s="19">
        <v>1080.4749999999999</v>
      </c>
      <c r="AJ62" s="23">
        <f t="shared" si="66"/>
        <v>20.039999999999964</v>
      </c>
      <c r="AK62" s="6">
        <f t="shared" si="42"/>
        <v>0.47499999999990905</v>
      </c>
      <c r="AL62" s="27">
        <f t="shared" si="67"/>
        <v>3.999999999996362E-2</v>
      </c>
      <c r="AM62" s="27"/>
      <c r="AN62" s="20">
        <f t="shared" si="3"/>
        <v>0</v>
      </c>
      <c r="AO62" s="2"/>
      <c r="AP62">
        <f t="shared" si="68"/>
        <v>54</v>
      </c>
      <c r="AQ62">
        <v>20</v>
      </c>
      <c r="AR62">
        <f t="shared" si="69"/>
        <v>1080</v>
      </c>
      <c r="AS62" s="19">
        <v>1080.43</v>
      </c>
      <c r="AT62" s="23">
        <f t="shared" si="70"/>
        <v>20.039999999999964</v>
      </c>
      <c r="AU62" s="6">
        <f t="shared" si="43"/>
        <v>0.43000000000006366</v>
      </c>
      <c r="AV62" s="27">
        <f t="shared" si="71"/>
        <v>3.999999999996362E-2</v>
      </c>
      <c r="AW62" s="27"/>
      <c r="AX62" s="27"/>
      <c r="AY62" s="2">
        <f t="shared" si="44"/>
        <v>1080.4450000000002</v>
      </c>
      <c r="AZ62" s="23">
        <f t="shared" si="45"/>
        <v>20.041999999999963</v>
      </c>
      <c r="BA62" s="6">
        <f t="shared" si="46"/>
        <v>0.4449999999999818</v>
      </c>
      <c r="BB62" s="27">
        <f t="shared" si="47"/>
        <v>4.1999999999961804E-2</v>
      </c>
      <c r="BC62" s="27"/>
      <c r="BD62" s="36"/>
      <c r="BF62">
        <f t="shared" si="4"/>
        <v>23</v>
      </c>
      <c r="BG62">
        <f t="shared" si="5"/>
        <v>-20</v>
      </c>
      <c r="BH62">
        <f t="shared" si="6"/>
        <v>1060</v>
      </c>
      <c r="BI62" s="19">
        <v>-459.505</v>
      </c>
      <c r="BJ62" s="2">
        <f t="shared" si="7"/>
        <v>1060.4950000000003</v>
      </c>
      <c r="BK62" s="23">
        <f t="shared" si="8"/>
        <v>-20</v>
      </c>
      <c r="BL62" s="6">
        <f t="shared" si="9"/>
        <v>-0.49500000000034561</v>
      </c>
      <c r="BM62" s="12">
        <f t="shared" si="10"/>
        <v>0</v>
      </c>
      <c r="BO62" s="20">
        <f t="shared" si="48"/>
        <v>2.0000000000038654E-2</v>
      </c>
      <c r="BQ62">
        <f t="shared" si="11"/>
        <v>23</v>
      </c>
      <c r="BR62">
        <f t="shared" si="12"/>
        <v>-20</v>
      </c>
      <c r="BS62">
        <f t="shared" si="13"/>
        <v>1060</v>
      </c>
      <c r="BT62" s="19">
        <v>-459.52</v>
      </c>
      <c r="BU62" s="2">
        <f t="shared" si="14"/>
        <v>1060.4799999999996</v>
      </c>
      <c r="BV62" s="23">
        <f t="shared" si="72"/>
        <v>-19.979999999999961</v>
      </c>
      <c r="BW62" s="6">
        <f t="shared" si="16"/>
        <v>-0.47999999999956344</v>
      </c>
      <c r="BX62" s="12">
        <f t="shared" si="17"/>
        <v>-2.0000000000038654E-2</v>
      </c>
      <c r="BY62" s="12"/>
      <c r="BZ62" s="20">
        <f t="shared" si="49"/>
        <v>-0.10000000000002274</v>
      </c>
      <c r="CB62">
        <f t="shared" si="18"/>
        <v>23</v>
      </c>
      <c r="CC62">
        <f t="shared" si="19"/>
        <v>-20</v>
      </c>
      <c r="CD62">
        <f t="shared" si="20"/>
        <v>1060</v>
      </c>
      <c r="CE62" s="19">
        <v>-459.58</v>
      </c>
      <c r="CF62" s="2">
        <f t="shared" si="21"/>
        <v>1060.42</v>
      </c>
      <c r="CG62" s="23">
        <f t="shared" si="73"/>
        <v>-20.079999999999984</v>
      </c>
      <c r="CH62" s="6">
        <f t="shared" si="23"/>
        <v>-0.42000000000007276</v>
      </c>
      <c r="CI62" s="12">
        <f t="shared" si="24"/>
        <v>7.9999999999984084E-2</v>
      </c>
      <c r="CK62" s="20">
        <f t="shared" si="50"/>
        <v>-5.0000000000011369E-2</v>
      </c>
      <c r="CM62">
        <f t="shared" si="25"/>
        <v>23</v>
      </c>
      <c r="CN62">
        <f t="shared" si="26"/>
        <v>-20</v>
      </c>
      <c r="CO62">
        <f t="shared" si="27"/>
        <v>1060</v>
      </c>
      <c r="CP62" s="19">
        <v>-459.63499999999999</v>
      </c>
      <c r="CQ62" s="2">
        <f t="shared" si="28"/>
        <v>1060.3649999999998</v>
      </c>
      <c r="CR62" s="23">
        <f t="shared" si="74"/>
        <v>-20.129999999999995</v>
      </c>
      <c r="CS62" s="6">
        <f t="shared" si="30"/>
        <v>-0.36499999999978172</v>
      </c>
      <c r="CT62" s="12">
        <f t="shared" si="31"/>
        <v>0.12999999999999545</v>
      </c>
      <c r="CV62" s="20">
        <f t="shared" si="51"/>
        <v>0.10499999999996135</v>
      </c>
      <c r="CX62">
        <f t="shared" si="32"/>
        <v>23</v>
      </c>
      <c r="CY62">
        <f t="shared" si="33"/>
        <v>-20</v>
      </c>
      <c r="CZ62">
        <f t="shared" si="34"/>
        <v>1060</v>
      </c>
      <c r="DA62" s="19">
        <v>-459.54</v>
      </c>
      <c r="DB62" s="2">
        <f t="shared" si="35"/>
        <v>1060.4599999999996</v>
      </c>
      <c r="DC62" s="23">
        <f t="shared" si="75"/>
        <v>-20.025000000000034</v>
      </c>
      <c r="DD62" s="6">
        <f t="shared" si="37"/>
        <v>-0.45999999999958163</v>
      </c>
      <c r="DE62" s="12">
        <f t="shared" si="38"/>
        <v>2.5000000000034106E-2</v>
      </c>
      <c r="DM62" s="2"/>
      <c r="DN62" s="2"/>
      <c r="DO62" s="6"/>
      <c r="DP62" s="2"/>
      <c r="DQ62" s="10"/>
    </row>
    <row r="63" spans="2:121" x14ac:dyDescent="0.45">
      <c r="B63">
        <f t="shared" si="52"/>
        <v>55</v>
      </c>
      <c r="C63">
        <v>20</v>
      </c>
      <c r="D63">
        <f t="shared" si="53"/>
        <v>1100</v>
      </c>
      <c r="E63" s="19">
        <v>1100.4849999999999</v>
      </c>
      <c r="F63" s="23">
        <f t="shared" si="54"/>
        <v>20.049999999999955</v>
      </c>
      <c r="G63" s="6">
        <f t="shared" si="39"/>
        <v>0.48499999999989996</v>
      </c>
      <c r="H63" s="12">
        <f t="shared" si="55"/>
        <v>4.9999999999954525E-2</v>
      </c>
      <c r="J63" s="20">
        <f t="shared" si="0"/>
        <v>5.0000000001091394E-3</v>
      </c>
      <c r="K63" s="2"/>
      <c r="L63">
        <f t="shared" si="56"/>
        <v>55</v>
      </c>
      <c r="M63">
        <v>20</v>
      </c>
      <c r="N63">
        <f t="shared" si="57"/>
        <v>1100</v>
      </c>
      <c r="O63" s="19">
        <v>1100.49</v>
      </c>
      <c r="P63" s="23">
        <f t="shared" si="58"/>
        <v>20.055000000000064</v>
      </c>
      <c r="Q63" s="6">
        <f t="shared" si="40"/>
        <v>0.49000000000000909</v>
      </c>
      <c r="R63" s="27">
        <f t="shared" si="59"/>
        <v>5.5000000000063665E-2</v>
      </c>
      <c r="S63" s="27"/>
      <c r="T63" s="20">
        <f t="shared" si="1"/>
        <v>0</v>
      </c>
      <c r="U63" s="2"/>
      <c r="V63">
        <f t="shared" si="60"/>
        <v>55</v>
      </c>
      <c r="W63">
        <v>20</v>
      </c>
      <c r="X63">
        <f t="shared" si="61"/>
        <v>1100</v>
      </c>
      <c r="Y63" s="19">
        <v>1100.5050000000001</v>
      </c>
      <c r="Z63" s="23">
        <f t="shared" si="62"/>
        <v>20.055000000000064</v>
      </c>
      <c r="AA63" s="6">
        <f t="shared" si="41"/>
        <v>0.50500000000010914</v>
      </c>
      <c r="AB63" s="27">
        <f t="shared" si="63"/>
        <v>5.5000000000063665E-2</v>
      </c>
      <c r="AC63" s="27"/>
      <c r="AD63" s="20">
        <f t="shared" si="2"/>
        <v>-3.5000000000081855E-2</v>
      </c>
      <c r="AE63" s="2"/>
      <c r="AF63">
        <f t="shared" si="64"/>
        <v>55</v>
      </c>
      <c r="AG63">
        <v>20</v>
      </c>
      <c r="AH63">
        <f t="shared" si="65"/>
        <v>1100</v>
      </c>
      <c r="AI63" s="19">
        <v>1100.4949999999999</v>
      </c>
      <c r="AJ63" s="23">
        <f t="shared" si="66"/>
        <v>20.019999999999982</v>
      </c>
      <c r="AK63" s="6">
        <f t="shared" si="42"/>
        <v>0.49499999999989086</v>
      </c>
      <c r="AL63" s="27">
        <f t="shared" si="67"/>
        <v>1.999999999998181E-2</v>
      </c>
      <c r="AM63" s="27"/>
      <c r="AN63" s="20">
        <f t="shared" si="3"/>
        <v>2.4999999999863576E-2</v>
      </c>
      <c r="AO63" s="2"/>
      <c r="AP63">
        <f t="shared" si="68"/>
        <v>55</v>
      </c>
      <c r="AQ63">
        <v>20</v>
      </c>
      <c r="AR63">
        <f t="shared" si="69"/>
        <v>1100</v>
      </c>
      <c r="AS63" s="19">
        <v>1100.4749999999999</v>
      </c>
      <c r="AT63" s="23">
        <f t="shared" si="70"/>
        <v>20.044999999999845</v>
      </c>
      <c r="AU63" s="6">
        <f t="shared" si="43"/>
        <v>0.47499999999990905</v>
      </c>
      <c r="AV63" s="27">
        <f t="shared" si="71"/>
        <v>4.4999999999845386E-2</v>
      </c>
      <c r="AW63" s="27"/>
      <c r="AX63" s="27"/>
      <c r="AY63" s="2">
        <f t="shared" si="44"/>
        <v>1100.4900000000002</v>
      </c>
      <c r="AZ63" s="23">
        <f t="shared" si="45"/>
        <v>20.04499999999998</v>
      </c>
      <c r="BA63" s="6">
        <f t="shared" si="46"/>
        <v>0.48999999999996363</v>
      </c>
      <c r="BB63" s="27">
        <f t="shared" si="47"/>
        <v>4.4999999999981811E-2</v>
      </c>
      <c r="BC63" s="27"/>
      <c r="BD63" s="36"/>
      <c r="BF63">
        <f t="shared" si="4"/>
        <v>22</v>
      </c>
      <c r="BG63">
        <f t="shared" si="5"/>
        <v>-20</v>
      </c>
      <c r="BH63">
        <f t="shared" si="6"/>
        <v>1080</v>
      </c>
      <c r="BI63" s="19">
        <v>-439.505</v>
      </c>
      <c r="BJ63" s="2">
        <f t="shared" si="7"/>
        <v>1080.4950000000003</v>
      </c>
      <c r="BK63" s="23">
        <f t="shared" si="8"/>
        <v>-20.029999999999973</v>
      </c>
      <c r="BL63" s="6">
        <f t="shared" si="9"/>
        <v>-0.49500000000034561</v>
      </c>
      <c r="BM63" s="12">
        <f t="shared" si="10"/>
        <v>2.9999999999972715E-2</v>
      </c>
      <c r="BO63" s="20">
        <f t="shared" si="48"/>
        <v>-3.0000000000029559E-2</v>
      </c>
      <c r="BQ63">
        <f t="shared" si="11"/>
        <v>22</v>
      </c>
      <c r="BR63">
        <f t="shared" si="12"/>
        <v>-20</v>
      </c>
      <c r="BS63">
        <f t="shared" si="13"/>
        <v>1080</v>
      </c>
      <c r="BT63" s="19">
        <v>-439.54</v>
      </c>
      <c r="BU63" s="2">
        <f t="shared" si="14"/>
        <v>1080.4599999999996</v>
      </c>
      <c r="BV63" s="23">
        <f t="shared" si="72"/>
        <v>-20.060000000000002</v>
      </c>
      <c r="BW63" s="6">
        <f t="shared" si="16"/>
        <v>-0.45999999999958163</v>
      </c>
      <c r="BX63" s="12">
        <f t="shared" si="17"/>
        <v>6.0000000000002274E-2</v>
      </c>
      <c r="BY63" s="12"/>
      <c r="BZ63" s="20">
        <f t="shared" si="49"/>
        <v>7.9999999999984084E-2</v>
      </c>
      <c r="CB63">
        <f t="shared" si="18"/>
        <v>22</v>
      </c>
      <c r="CC63">
        <f t="shared" si="19"/>
        <v>-20</v>
      </c>
      <c r="CD63">
        <f t="shared" si="20"/>
        <v>1080</v>
      </c>
      <c r="CE63" s="19">
        <v>-439.5</v>
      </c>
      <c r="CF63" s="2">
        <f t="shared" si="21"/>
        <v>1080.5</v>
      </c>
      <c r="CG63" s="23">
        <f t="shared" si="73"/>
        <v>-19.980000000000018</v>
      </c>
      <c r="CH63" s="6">
        <f t="shared" si="23"/>
        <v>-0.5</v>
      </c>
      <c r="CI63" s="12">
        <f t="shared" si="24"/>
        <v>-1.999999999998181E-2</v>
      </c>
      <c r="CK63" s="20">
        <f t="shared" si="50"/>
        <v>-1.4999999999986358E-2</v>
      </c>
      <c r="CM63">
        <f t="shared" si="25"/>
        <v>22</v>
      </c>
      <c r="CN63">
        <f t="shared" si="26"/>
        <v>-20</v>
      </c>
      <c r="CO63">
        <f t="shared" si="27"/>
        <v>1080</v>
      </c>
      <c r="CP63" s="19">
        <v>-439.505</v>
      </c>
      <c r="CQ63" s="2">
        <f t="shared" si="28"/>
        <v>1080.4949999999999</v>
      </c>
      <c r="CR63" s="23">
        <f t="shared" si="74"/>
        <v>-19.995000000000005</v>
      </c>
      <c r="CS63" s="6">
        <f t="shared" si="30"/>
        <v>-0.49499999999989086</v>
      </c>
      <c r="CT63" s="12">
        <f t="shared" si="31"/>
        <v>-4.9999999999954525E-3</v>
      </c>
      <c r="CV63" s="20">
        <f t="shared" si="51"/>
        <v>-2.9999999999972715E-2</v>
      </c>
      <c r="CX63">
        <f t="shared" si="32"/>
        <v>22</v>
      </c>
      <c r="CY63">
        <f t="shared" si="33"/>
        <v>-20</v>
      </c>
      <c r="CZ63">
        <f t="shared" si="34"/>
        <v>1080</v>
      </c>
      <c r="DA63" s="19">
        <v>-439.51499999999999</v>
      </c>
      <c r="DB63" s="2">
        <f t="shared" si="35"/>
        <v>1080.4849999999997</v>
      </c>
      <c r="DC63" s="23">
        <f t="shared" si="75"/>
        <v>-20.024999999999977</v>
      </c>
      <c r="DD63" s="6">
        <f t="shared" si="37"/>
        <v>-0.48499999999967258</v>
      </c>
      <c r="DE63" s="12">
        <f t="shared" si="38"/>
        <v>2.4999999999977263E-2</v>
      </c>
      <c r="DM63" s="2"/>
      <c r="DN63" s="2"/>
      <c r="DO63" s="6"/>
      <c r="DP63" s="2"/>
      <c r="DQ63" s="10"/>
    </row>
    <row r="64" spans="2:121" x14ac:dyDescent="0.45">
      <c r="B64">
        <f t="shared" si="52"/>
        <v>56</v>
      </c>
      <c r="C64">
        <v>20</v>
      </c>
      <c r="D64">
        <f t="shared" si="53"/>
        <v>1120</v>
      </c>
      <c r="E64" s="19">
        <v>1120.46</v>
      </c>
      <c r="F64" s="23">
        <f t="shared" si="54"/>
        <v>19.975000000000136</v>
      </c>
      <c r="G64" s="6">
        <f t="shared" si="39"/>
        <v>0.46000000000003638</v>
      </c>
      <c r="H64" s="12">
        <f t="shared" si="55"/>
        <v>-2.4999999999863576E-2</v>
      </c>
      <c r="J64" s="20">
        <f t="shared" si="0"/>
        <v>2.4999999999863576E-2</v>
      </c>
      <c r="K64" s="2"/>
      <c r="L64">
        <f t="shared" si="56"/>
        <v>56</v>
      </c>
      <c r="M64">
        <v>20</v>
      </c>
      <c r="N64">
        <f t="shared" si="57"/>
        <v>1120</v>
      </c>
      <c r="O64" s="19">
        <v>1120.49</v>
      </c>
      <c r="P64" s="23">
        <f t="shared" si="58"/>
        <v>20</v>
      </c>
      <c r="Q64" s="6">
        <f t="shared" si="40"/>
        <v>0.49000000000000909</v>
      </c>
      <c r="R64" s="27">
        <f t="shared" si="59"/>
        <v>0</v>
      </c>
      <c r="S64" s="27"/>
      <c r="T64" s="20">
        <f t="shared" si="1"/>
        <v>-1.0000000000218279E-2</v>
      </c>
      <c r="U64" s="2"/>
      <c r="V64">
        <f t="shared" si="60"/>
        <v>56</v>
      </c>
      <c r="W64">
        <v>20</v>
      </c>
      <c r="X64">
        <f t="shared" si="61"/>
        <v>1120</v>
      </c>
      <c r="Y64" s="19">
        <v>1120.4949999999999</v>
      </c>
      <c r="Z64" s="23">
        <f t="shared" si="62"/>
        <v>19.989999999999782</v>
      </c>
      <c r="AA64" s="6">
        <f t="shared" si="41"/>
        <v>0.49499999999989086</v>
      </c>
      <c r="AB64" s="27">
        <f t="shared" si="63"/>
        <v>-1.0000000000218279E-2</v>
      </c>
      <c r="AC64" s="27"/>
      <c r="AD64" s="20">
        <f t="shared" si="2"/>
        <v>2.0000000000436557E-2</v>
      </c>
      <c r="AE64" s="2"/>
      <c r="AF64">
        <f t="shared" si="64"/>
        <v>56</v>
      </c>
      <c r="AG64">
        <v>20</v>
      </c>
      <c r="AH64">
        <f t="shared" si="65"/>
        <v>1120</v>
      </c>
      <c r="AI64" s="19">
        <v>1120.5050000000001</v>
      </c>
      <c r="AJ64" s="23">
        <f t="shared" si="66"/>
        <v>20.010000000000218</v>
      </c>
      <c r="AK64" s="6">
        <f t="shared" si="42"/>
        <v>0.50500000000010914</v>
      </c>
      <c r="AL64" s="27">
        <f t="shared" si="67"/>
        <v>1.0000000000218279E-2</v>
      </c>
      <c r="AM64" s="27"/>
      <c r="AN64" s="20">
        <f t="shared" si="3"/>
        <v>-1.0000000000218279E-2</v>
      </c>
      <c r="AO64" s="2"/>
      <c r="AP64">
        <f t="shared" si="68"/>
        <v>56</v>
      </c>
      <c r="AQ64">
        <v>20</v>
      </c>
      <c r="AR64">
        <f t="shared" si="69"/>
        <v>1120</v>
      </c>
      <c r="AS64" s="19">
        <v>1120.4749999999999</v>
      </c>
      <c r="AT64" s="23">
        <f t="shared" si="70"/>
        <v>20</v>
      </c>
      <c r="AU64" s="6">
        <f t="shared" si="43"/>
        <v>0.47499999999990905</v>
      </c>
      <c r="AV64" s="27">
        <f t="shared" si="71"/>
        <v>0</v>
      </c>
      <c r="AW64" s="27"/>
      <c r="AX64" s="27"/>
      <c r="AY64" s="2">
        <f t="shared" si="44"/>
        <v>1120.4849999999999</v>
      </c>
      <c r="AZ64" s="23">
        <f t="shared" si="45"/>
        <v>19.995000000000026</v>
      </c>
      <c r="BA64" s="6">
        <f t="shared" si="46"/>
        <v>0.48499999999999088</v>
      </c>
      <c r="BB64" s="27">
        <f t="shared" si="47"/>
        <v>-4.9999999999727155E-3</v>
      </c>
      <c r="BC64" s="27"/>
      <c r="BD64" s="36"/>
      <c r="BF64">
        <f t="shared" si="4"/>
        <v>21</v>
      </c>
      <c r="BG64">
        <f t="shared" si="5"/>
        <v>-20</v>
      </c>
      <c r="BH64">
        <f t="shared" si="6"/>
        <v>1100</v>
      </c>
      <c r="BI64" s="19">
        <v>-419.47500000000002</v>
      </c>
      <c r="BJ64" s="2">
        <f t="shared" si="7"/>
        <v>1100.5250000000003</v>
      </c>
      <c r="BK64" s="23">
        <f t="shared" si="8"/>
        <v>-19.950000000000045</v>
      </c>
      <c r="BL64" s="6">
        <f t="shared" si="9"/>
        <v>-0.52500000000031832</v>
      </c>
      <c r="BM64" s="12">
        <f t="shared" si="10"/>
        <v>-4.9999999999954525E-2</v>
      </c>
      <c r="BO64" s="20">
        <f t="shared" si="48"/>
        <v>1.0000000000047748E-2</v>
      </c>
      <c r="BQ64">
        <f t="shared" si="11"/>
        <v>21</v>
      </c>
      <c r="BR64">
        <f t="shared" si="12"/>
        <v>-20</v>
      </c>
      <c r="BS64">
        <f t="shared" si="13"/>
        <v>1100</v>
      </c>
      <c r="BT64" s="19">
        <v>-419.48</v>
      </c>
      <c r="BU64" s="2">
        <f t="shared" si="14"/>
        <v>1100.5199999999995</v>
      </c>
      <c r="BV64" s="23">
        <f t="shared" si="72"/>
        <v>-19.939999999999998</v>
      </c>
      <c r="BW64" s="6">
        <f t="shared" si="16"/>
        <v>-0.51999999999952706</v>
      </c>
      <c r="BX64" s="12">
        <f t="shared" si="17"/>
        <v>-6.0000000000002274E-2</v>
      </c>
      <c r="BY64" s="12"/>
      <c r="BZ64" s="20">
        <f t="shared" si="49"/>
        <v>-5.0000000000011369E-2</v>
      </c>
      <c r="CB64">
        <f t="shared" si="18"/>
        <v>21</v>
      </c>
      <c r="CC64">
        <f t="shared" si="19"/>
        <v>-20</v>
      </c>
      <c r="CD64">
        <f t="shared" si="20"/>
        <v>1100</v>
      </c>
      <c r="CE64" s="19">
        <v>-419.52</v>
      </c>
      <c r="CF64" s="2">
        <f t="shared" si="21"/>
        <v>1100.48</v>
      </c>
      <c r="CG64" s="23">
        <f t="shared" si="73"/>
        <v>-19.990000000000009</v>
      </c>
      <c r="CH64" s="6">
        <f t="shared" si="23"/>
        <v>-0.48000000000001819</v>
      </c>
      <c r="CI64" s="12">
        <f t="shared" si="24"/>
        <v>-9.9999999999909051E-3</v>
      </c>
      <c r="CK64" s="20">
        <f t="shared" si="50"/>
        <v>0</v>
      </c>
      <c r="CM64">
        <f t="shared" si="25"/>
        <v>21</v>
      </c>
      <c r="CN64">
        <f t="shared" si="26"/>
        <v>-20</v>
      </c>
      <c r="CO64">
        <f t="shared" si="27"/>
        <v>1100</v>
      </c>
      <c r="CP64" s="19">
        <v>-419.51</v>
      </c>
      <c r="CQ64" s="2">
        <f t="shared" si="28"/>
        <v>1100.49</v>
      </c>
      <c r="CR64" s="23">
        <f t="shared" si="74"/>
        <v>-19.990000000000009</v>
      </c>
      <c r="CS64" s="6">
        <f t="shared" si="30"/>
        <v>-0.49000000000000909</v>
      </c>
      <c r="CT64" s="12">
        <f t="shared" si="31"/>
        <v>-9.9999999999909051E-3</v>
      </c>
      <c r="CV64" s="20">
        <f t="shared" si="51"/>
        <v>6.0000000000002274E-2</v>
      </c>
      <c r="CX64">
        <f t="shared" si="32"/>
        <v>21</v>
      </c>
      <c r="CY64">
        <f t="shared" si="33"/>
        <v>-20</v>
      </c>
      <c r="CZ64">
        <f t="shared" si="34"/>
        <v>1100</v>
      </c>
      <c r="DA64" s="19">
        <v>-419.49</v>
      </c>
      <c r="DB64" s="2">
        <f t="shared" si="35"/>
        <v>1100.5099999999998</v>
      </c>
      <c r="DC64" s="23">
        <f t="shared" si="75"/>
        <v>-19.930000000000007</v>
      </c>
      <c r="DD64" s="6">
        <f t="shared" si="37"/>
        <v>-0.50999999999976353</v>
      </c>
      <c r="DE64" s="12">
        <f t="shared" si="38"/>
        <v>-6.9999999999993179E-2</v>
      </c>
      <c r="DM64" s="2"/>
      <c r="DN64" s="2"/>
      <c r="DO64" s="6"/>
      <c r="DP64" s="2"/>
      <c r="DQ64" s="10"/>
    </row>
    <row r="65" spans="2:121" x14ac:dyDescent="0.45">
      <c r="B65">
        <f t="shared" si="52"/>
        <v>57</v>
      </c>
      <c r="C65">
        <v>20</v>
      </c>
      <c r="D65">
        <f t="shared" si="53"/>
        <v>1140</v>
      </c>
      <c r="E65" s="19">
        <v>1140.4449999999999</v>
      </c>
      <c r="F65" s="23">
        <f t="shared" si="54"/>
        <v>19.9849999999999</v>
      </c>
      <c r="G65" s="6">
        <f t="shared" si="39"/>
        <v>0.44499999999993634</v>
      </c>
      <c r="H65" s="12">
        <f t="shared" si="55"/>
        <v>-1.5000000000100044E-2</v>
      </c>
      <c r="J65" s="20">
        <f t="shared" si="0"/>
        <v>2.5000000000090949E-2</v>
      </c>
      <c r="K65" s="2"/>
      <c r="L65">
        <f t="shared" si="56"/>
        <v>57</v>
      </c>
      <c r="M65">
        <v>20</v>
      </c>
      <c r="N65">
        <f t="shared" si="57"/>
        <v>1140</v>
      </c>
      <c r="O65" s="19">
        <v>1140.5</v>
      </c>
      <c r="P65" s="23">
        <f t="shared" si="58"/>
        <v>20.009999999999991</v>
      </c>
      <c r="Q65" s="6">
        <f t="shared" si="40"/>
        <v>0.5</v>
      </c>
      <c r="R65" s="27">
        <f t="shared" si="59"/>
        <v>9.9999999999909051E-3</v>
      </c>
      <c r="S65" s="27"/>
      <c r="T65" s="20">
        <f t="shared" si="1"/>
        <v>-2.9999999999972715E-2</v>
      </c>
      <c r="U65" s="2"/>
      <c r="V65">
        <f t="shared" si="60"/>
        <v>57</v>
      </c>
      <c r="W65">
        <v>20</v>
      </c>
      <c r="X65">
        <f t="shared" si="61"/>
        <v>1140</v>
      </c>
      <c r="Y65" s="19">
        <v>1140.4749999999999</v>
      </c>
      <c r="Z65" s="23">
        <f t="shared" si="62"/>
        <v>19.980000000000018</v>
      </c>
      <c r="AA65" s="6">
        <f t="shared" si="41"/>
        <v>0.47499999999990905</v>
      </c>
      <c r="AB65" s="27">
        <f t="shared" si="63"/>
        <v>-1.999999999998181E-2</v>
      </c>
      <c r="AC65" s="27"/>
      <c r="AD65" s="20">
        <f t="shared" si="2"/>
        <v>-2.0000000000209184E-2</v>
      </c>
      <c r="AE65" s="2"/>
      <c r="AF65">
        <f t="shared" si="64"/>
        <v>57</v>
      </c>
      <c r="AG65">
        <v>20</v>
      </c>
      <c r="AH65">
        <f t="shared" si="65"/>
        <v>1140</v>
      </c>
      <c r="AI65" s="19">
        <v>1140.4649999999999</v>
      </c>
      <c r="AJ65" s="23">
        <f t="shared" si="66"/>
        <v>19.959999999999809</v>
      </c>
      <c r="AK65" s="6">
        <f t="shared" si="42"/>
        <v>0.46499999999991815</v>
      </c>
      <c r="AL65" s="27">
        <f t="shared" si="67"/>
        <v>-4.0000000000190994E-2</v>
      </c>
      <c r="AM65" s="27"/>
      <c r="AN65" s="20">
        <f t="shared" si="3"/>
        <v>5.000000000336513E-3</v>
      </c>
      <c r="AO65" s="2"/>
      <c r="AP65">
        <f t="shared" si="68"/>
        <v>57</v>
      </c>
      <c r="AQ65">
        <v>20</v>
      </c>
      <c r="AR65">
        <f t="shared" si="69"/>
        <v>1140</v>
      </c>
      <c r="AS65" s="19">
        <v>1140.44</v>
      </c>
      <c r="AT65" s="23">
        <f t="shared" si="70"/>
        <v>19.965000000000146</v>
      </c>
      <c r="AU65" s="6">
        <f t="shared" si="43"/>
        <v>0.44000000000005457</v>
      </c>
      <c r="AV65" s="27">
        <f t="shared" si="71"/>
        <v>-3.4999999999854481E-2</v>
      </c>
      <c r="AW65" s="27"/>
      <c r="AX65" s="27"/>
      <c r="AY65" s="2">
        <f t="shared" si="44"/>
        <v>1140.4649999999997</v>
      </c>
      <c r="AZ65" s="23">
        <f t="shared" si="45"/>
        <v>19.979999999999972</v>
      </c>
      <c r="BA65" s="6">
        <f t="shared" si="46"/>
        <v>0.46499999999996361</v>
      </c>
      <c r="BB65" s="27">
        <f t="shared" si="47"/>
        <v>-2.0000000000027284E-2</v>
      </c>
      <c r="BC65" s="27"/>
      <c r="BD65" s="36"/>
      <c r="BF65">
        <f t="shared" si="4"/>
        <v>20</v>
      </c>
      <c r="BG65">
        <f t="shared" si="5"/>
        <v>-20</v>
      </c>
      <c r="BH65">
        <f t="shared" si="6"/>
        <v>1120</v>
      </c>
      <c r="BI65" s="19">
        <v>-399.52499999999998</v>
      </c>
      <c r="BJ65" s="2">
        <f t="shared" si="7"/>
        <v>1120.4750000000004</v>
      </c>
      <c r="BK65" s="23">
        <f t="shared" si="8"/>
        <v>-19.939999999999998</v>
      </c>
      <c r="BL65" s="6">
        <f t="shared" si="9"/>
        <v>-0.4750000000003638</v>
      </c>
      <c r="BM65" s="12">
        <f t="shared" si="10"/>
        <v>-6.0000000000002274E-2</v>
      </c>
      <c r="BO65" s="20">
        <f t="shared" si="48"/>
        <v>2.4999999999977263E-2</v>
      </c>
      <c r="BQ65">
        <f t="shared" si="11"/>
        <v>20</v>
      </c>
      <c r="BR65">
        <f t="shared" si="12"/>
        <v>-20</v>
      </c>
      <c r="BS65">
        <f t="shared" si="13"/>
        <v>1120</v>
      </c>
      <c r="BT65" s="19">
        <v>-399.54</v>
      </c>
      <c r="BU65" s="2">
        <f t="shared" si="14"/>
        <v>1120.4599999999996</v>
      </c>
      <c r="BV65" s="23">
        <f t="shared" si="72"/>
        <v>-19.91500000000002</v>
      </c>
      <c r="BW65" s="6">
        <f t="shared" si="16"/>
        <v>-0.45999999999958163</v>
      </c>
      <c r="BX65" s="12">
        <f t="shared" si="17"/>
        <v>-8.4999999999979536E-2</v>
      </c>
      <c r="BY65" s="12"/>
      <c r="BZ65" s="20">
        <f t="shared" si="49"/>
        <v>-9.9999999999340616E-3</v>
      </c>
      <c r="CB65">
        <f t="shared" si="18"/>
        <v>20</v>
      </c>
      <c r="CC65">
        <f t="shared" si="19"/>
        <v>-20</v>
      </c>
      <c r="CD65">
        <f t="shared" si="20"/>
        <v>1120</v>
      </c>
      <c r="CE65" s="19">
        <v>-399.53</v>
      </c>
      <c r="CF65" s="2">
        <f t="shared" si="21"/>
        <v>1120.47</v>
      </c>
      <c r="CG65" s="23">
        <f t="shared" si="73"/>
        <v>-19.924999999999955</v>
      </c>
      <c r="CH65" s="6">
        <f t="shared" si="23"/>
        <v>-0.47000000000002728</v>
      </c>
      <c r="CI65" s="12">
        <f t="shared" si="24"/>
        <v>-7.5000000000045475E-2</v>
      </c>
      <c r="CK65" s="20">
        <f t="shared" si="50"/>
        <v>1.4999999999986358E-2</v>
      </c>
      <c r="CM65">
        <f t="shared" si="25"/>
        <v>20</v>
      </c>
      <c r="CN65">
        <f t="shared" si="26"/>
        <v>-20</v>
      </c>
      <c r="CO65">
        <f t="shared" si="27"/>
        <v>1120</v>
      </c>
      <c r="CP65" s="19">
        <v>-399.52</v>
      </c>
      <c r="CQ65" s="2">
        <f t="shared" si="28"/>
        <v>1120.48</v>
      </c>
      <c r="CR65" s="23">
        <f t="shared" si="74"/>
        <v>-19.909999999999968</v>
      </c>
      <c r="CS65" s="6">
        <f t="shared" si="30"/>
        <v>-0.48000000000001819</v>
      </c>
      <c r="CT65" s="12">
        <f t="shared" si="31"/>
        <v>-9.0000000000031832E-2</v>
      </c>
      <c r="CV65" s="20">
        <f t="shared" si="51"/>
        <v>-4.0000000000020464E-2</v>
      </c>
      <c r="CX65">
        <f t="shared" si="32"/>
        <v>20</v>
      </c>
      <c r="CY65">
        <f t="shared" si="33"/>
        <v>-20</v>
      </c>
      <c r="CZ65">
        <f t="shared" si="34"/>
        <v>1120</v>
      </c>
      <c r="DA65" s="19">
        <v>-399.56</v>
      </c>
      <c r="DB65" s="2">
        <f t="shared" si="35"/>
        <v>1120.4399999999998</v>
      </c>
      <c r="DC65" s="23">
        <f t="shared" si="75"/>
        <v>-19.949999999999989</v>
      </c>
      <c r="DD65" s="6">
        <f t="shared" si="37"/>
        <v>-0.4399999999998272</v>
      </c>
      <c r="DE65" s="12">
        <f t="shared" si="38"/>
        <v>-5.0000000000011369E-2</v>
      </c>
      <c r="DM65" s="2"/>
      <c r="DN65" s="2"/>
      <c r="DO65" s="6"/>
      <c r="DP65" s="2"/>
      <c r="DQ65" s="10"/>
    </row>
    <row r="66" spans="2:121" x14ac:dyDescent="0.45">
      <c r="B66">
        <f t="shared" si="52"/>
        <v>58</v>
      </c>
      <c r="C66">
        <v>20</v>
      </c>
      <c r="D66">
        <f t="shared" si="53"/>
        <v>1160</v>
      </c>
      <c r="E66" s="19">
        <v>1160.425</v>
      </c>
      <c r="F66" s="23">
        <f t="shared" si="54"/>
        <v>19.980000000000018</v>
      </c>
      <c r="G66" s="6">
        <f t="shared" si="39"/>
        <v>0.42499999999995453</v>
      </c>
      <c r="H66" s="12">
        <f t="shared" si="55"/>
        <v>-1.999999999998181E-2</v>
      </c>
      <c r="J66" s="20">
        <f t="shared" si="0"/>
        <v>-3.999999999996362E-2</v>
      </c>
      <c r="K66" s="2"/>
      <c r="L66">
        <f t="shared" si="56"/>
        <v>58</v>
      </c>
      <c r="M66">
        <v>20</v>
      </c>
      <c r="N66">
        <f t="shared" si="57"/>
        <v>1160</v>
      </c>
      <c r="O66" s="19">
        <v>1160.44</v>
      </c>
      <c r="P66" s="23">
        <f t="shared" si="58"/>
        <v>19.940000000000055</v>
      </c>
      <c r="Q66" s="6">
        <f t="shared" si="40"/>
        <v>0.44000000000005457</v>
      </c>
      <c r="R66" s="27">
        <f t="shared" si="59"/>
        <v>-5.999999999994543E-2</v>
      </c>
      <c r="S66" s="27"/>
      <c r="T66" s="20">
        <f t="shared" si="1"/>
        <v>2.5000000000090949E-2</v>
      </c>
      <c r="U66" s="2"/>
      <c r="V66">
        <f t="shared" si="60"/>
        <v>58</v>
      </c>
      <c r="W66">
        <v>20</v>
      </c>
      <c r="X66">
        <f t="shared" si="61"/>
        <v>1160</v>
      </c>
      <c r="Y66" s="19">
        <v>1160.44</v>
      </c>
      <c r="Z66" s="23">
        <f t="shared" si="62"/>
        <v>19.965000000000146</v>
      </c>
      <c r="AA66" s="6">
        <f t="shared" si="41"/>
        <v>0.44000000000005457</v>
      </c>
      <c r="AB66" s="27">
        <f t="shared" si="63"/>
        <v>-3.4999999999854481E-2</v>
      </c>
      <c r="AC66" s="27"/>
      <c r="AD66" s="20">
        <f t="shared" si="2"/>
        <v>3.999999999996362E-2</v>
      </c>
      <c r="AE66" s="2"/>
      <c r="AF66">
        <f t="shared" si="64"/>
        <v>58</v>
      </c>
      <c r="AG66">
        <v>20</v>
      </c>
      <c r="AH66">
        <f t="shared" si="65"/>
        <v>1160</v>
      </c>
      <c r="AI66" s="19">
        <v>1160.47</v>
      </c>
      <c r="AJ66" s="23">
        <f t="shared" si="66"/>
        <v>20.005000000000109</v>
      </c>
      <c r="AK66" s="6">
        <f t="shared" si="42"/>
        <v>0.47000000000002728</v>
      </c>
      <c r="AL66" s="27">
        <f t="shared" si="67"/>
        <v>5.0000000001091394E-3</v>
      </c>
      <c r="AM66" s="27"/>
      <c r="AN66" s="20">
        <f t="shared" si="3"/>
        <v>-1.5000000000100044E-2</v>
      </c>
      <c r="AO66" s="2"/>
      <c r="AP66">
        <f t="shared" si="68"/>
        <v>58</v>
      </c>
      <c r="AQ66">
        <v>20</v>
      </c>
      <c r="AR66">
        <f t="shared" si="69"/>
        <v>1160</v>
      </c>
      <c r="AS66" s="19">
        <v>1160.43</v>
      </c>
      <c r="AT66" s="23">
        <f t="shared" si="70"/>
        <v>19.990000000000009</v>
      </c>
      <c r="AU66" s="6">
        <f t="shared" si="43"/>
        <v>0.43000000000006366</v>
      </c>
      <c r="AV66" s="27">
        <f t="shared" si="71"/>
        <v>-9.9999999999909051E-3</v>
      </c>
      <c r="AW66" s="27"/>
      <c r="AX66" s="27"/>
      <c r="AY66" s="2">
        <f t="shared" si="44"/>
        <v>1160.441</v>
      </c>
      <c r="AZ66" s="23">
        <f t="shared" si="45"/>
        <v>19.976000000000067</v>
      </c>
      <c r="BA66" s="6">
        <f t="shared" si="46"/>
        <v>0.44100000000003092</v>
      </c>
      <c r="BB66" s="27">
        <f t="shared" si="47"/>
        <v>-2.3999999999932697E-2</v>
      </c>
      <c r="BC66" s="27"/>
      <c r="BD66" s="36"/>
      <c r="BF66">
        <f t="shared" si="4"/>
        <v>19</v>
      </c>
      <c r="BG66">
        <f t="shared" si="5"/>
        <v>-20</v>
      </c>
      <c r="BH66">
        <f t="shared" si="6"/>
        <v>1140</v>
      </c>
      <c r="BI66" s="19">
        <v>-379.58499999999998</v>
      </c>
      <c r="BJ66" s="2">
        <f t="shared" si="7"/>
        <v>1140.4150000000004</v>
      </c>
      <c r="BK66" s="23">
        <f t="shared" si="8"/>
        <v>-19.979999999999961</v>
      </c>
      <c r="BL66" s="6">
        <f t="shared" si="9"/>
        <v>-0.41500000000041837</v>
      </c>
      <c r="BM66" s="12">
        <f t="shared" si="10"/>
        <v>-2.0000000000038654E-2</v>
      </c>
      <c r="BO66" s="20">
        <f t="shared" si="48"/>
        <v>-2.0000000000038654E-2</v>
      </c>
      <c r="BQ66">
        <f t="shared" si="11"/>
        <v>19</v>
      </c>
      <c r="BR66">
        <f t="shared" si="12"/>
        <v>-20</v>
      </c>
      <c r="BS66">
        <f t="shared" si="13"/>
        <v>1140</v>
      </c>
      <c r="BT66" s="19">
        <v>-379.625</v>
      </c>
      <c r="BU66" s="2">
        <f t="shared" si="14"/>
        <v>1140.3749999999995</v>
      </c>
      <c r="BV66" s="23">
        <f t="shared" si="72"/>
        <v>-20</v>
      </c>
      <c r="BW66" s="6">
        <f t="shared" si="16"/>
        <v>-0.37499999999954525</v>
      </c>
      <c r="BX66" s="12">
        <f t="shared" si="17"/>
        <v>0</v>
      </c>
      <c r="BY66" s="12"/>
      <c r="BZ66" s="20">
        <f t="shared" si="49"/>
        <v>2.4999999999977263E-2</v>
      </c>
      <c r="CB66">
        <f t="shared" si="18"/>
        <v>19</v>
      </c>
      <c r="CC66">
        <f t="shared" si="19"/>
        <v>-20</v>
      </c>
      <c r="CD66">
        <f t="shared" si="20"/>
        <v>1140</v>
      </c>
      <c r="CE66" s="19">
        <v>-379.60500000000002</v>
      </c>
      <c r="CF66" s="2">
        <f t="shared" si="21"/>
        <v>1140.395</v>
      </c>
      <c r="CG66" s="23">
        <f t="shared" si="73"/>
        <v>-19.975000000000023</v>
      </c>
      <c r="CH66" s="6">
        <f t="shared" si="23"/>
        <v>-0.39499999999998181</v>
      </c>
      <c r="CI66" s="12">
        <f t="shared" si="24"/>
        <v>-2.4999999999977263E-2</v>
      </c>
      <c r="CK66" s="20">
        <f t="shared" si="50"/>
        <v>0</v>
      </c>
      <c r="CM66">
        <f t="shared" si="25"/>
        <v>19</v>
      </c>
      <c r="CN66">
        <f t="shared" si="26"/>
        <v>-20</v>
      </c>
      <c r="CO66">
        <f t="shared" si="27"/>
        <v>1140</v>
      </c>
      <c r="CP66" s="19">
        <v>-379.61</v>
      </c>
      <c r="CQ66" s="2">
        <f t="shared" si="28"/>
        <v>1140.3899999999999</v>
      </c>
      <c r="CR66" s="23">
        <f t="shared" si="74"/>
        <v>-19.975000000000023</v>
      </c>
      <c r="CS66" s="6">
        <f t="shared" si="30"/>
        <v>-0.38999999999987267</v>
      </c>
      <c r="CT66" s="12">
        <f t="shared" si="31"/>
        <v>-2.4999999999977263E-2</v>
      </c>
      <c r="CV66" s="20">
        <f t="shared" si="51"/>
        <v>0</v>
      </c>
      <c r="CX66">
        <f t="shared" si="32"/>
        <v>19</v>
      </c>
      <c r="CY66">
        <f t="shared" si="33"/>
        <v>-20</v>
      </c>
      <c r="CZ66">
        <f t="shared" si="34"/>
        <v>1140</v>
      </c>
      <c r="DA66" s="19">
        <v>-379.61</v>
      </c>
      <c r="DB66" s="2">
        <f t="shared" si="35"/>
        <v>1140.3899999999999</v>
      </c>
      <c r="DC66" s="23">
        <f t="shared" si="75"/>
        <v>-19.975000000000023</v>
      </c>
      <c r="DD66" s="6">
        <f t="shared" si="37"/>
        <v>-0.38999999999987267</v>
      </c>
      <c r="DE66" s="12">
        <f t="shared" si="38"/>
        <v>-2.4999999999977263E-2</v>
      </c>
      <c r="DM66" s="2"/>
      <c r="DN66" s="2"/>
      <c r="DO66" s="6"/>
      <c r="DP66" s="2"/>
      <c r="DQ66" s="10"/>
    </row>
    <row r="67" spans="2:121" x14ac:dyDescent="0.45">
      <c r="B67">
        <f t="shared" si="52"/>
        <v>59</v>
      </c>
      <c r="C67">
        <v>20</v>
      </c>
      <c r="D67">
        <f t="shared" si="53"/>
        <v>1180</v>
      </c>
      <c r="E67" s="19">
        <v>1180.405</v>
      </c>
      <c r="F67" s="23">
        <f t="shared" si="54"/>
        <v>19.980000000000018</v>
      </c>
      <c r="G67" s="6">
        <f t="shared" si="39"/>
        <v>0.40499999999997272</v>
      </c>
      <c r="H67" s="12">
        <f t="shared" si="55"/>
        <v>-1.999999999998181E-2</v>
      </c>
      <c r="J67" s="20">
        <f t="shared" si="0"/>
        <v>1.999999999998181E-2</v>
      </c>
      <c r="K67" s="2"/>
      <c r="L67">
        <f t="shared" si="56"/>
        <v>59</v>
      </c>
      <c r="M67">
        <v>20</v>
      </c>
      <c r="N67">
        <f t="shared" si="57"/>
        <v>1180</v>
      </c>
      <c r="O67" s="19">
        <v>1180.44</v>
      </c>
      <c r="P67" s="23">
        <f t="shared" si="58"/>
        <v>20</v>
      </c>
      <c r="Q67" s="6">
        <f t="shared" si="40"/>
        <v>0.44000000000005457</v>
      </c>
      <c r="R67" s="27">
        <f t="shared" si="59"/>
        <v>0</v>
      </c>
      <c r="S67" s="27"/>
      <c r="T67" s="20">
        <f t="shared" si="1"/>
        <v>-3.999999999996362E-2</v>
      </c>
      <c r="U67" s="2"/>
      <c r="V67">
        <f t="shared" si="60"/>
        <v>59</v>
      </c>
      <c r="W67">
        <v>20</v>
      </c>
      <c r="X67">
        <f t="shared" si="61"/>
        <v>1180</v>
      </c>
      <c r="Y67" s="19">
        <v>1180.4000000000001</v>
      </c>
      <c r="Z67" s="23">
        <f t="shared" si="62"/>
        <v>19.960000000000036</v>
      </c>
      <c r="AA67" s="6">
        <f t="shared" si="41"/>
        <v>0.40000000000009095</v>
      </c>
      <c r="AB67" s="27">
        <f t="shared" si="63"/>
        <v>-3.999999999996362E-2</v>
      </c>
      <c r="AC67" s="27"/>
      <c r="AD67" s="20">
        <f t="shared" si="2"/>
        <v>-3.999999999996362E-2</v>
      </c>
      <c r="AE67" s="2"/>
      <c r="AF67">
        <f t="shared" si="64"/>
        <v>59</v>
      </c>
      <c r="AG67">
        <v>20</v>
      </c>
      <c r="AH67">
        <f t="shared" si="65"/>
        <v>1180</v>
      </c>
      <c r="AI67" s="19">
        <v>1180.3900000000001</v>
      </c>
      <c r="AJ67" s="23">
        <f t="shared" si="66"/>
        <v>19.920000000000073</v>
      </c>
      <c r="AK67" s="6">
        <f t="shared" si="42"/>
        <v>0.39000000000010004</v>
      </c>
      <c r="AL67" s="27">
        <f t="shared" si="67"/>
        <v>-7.999999999992724E-2</v>
      </c>
      <c r="AM67" s="27"/>
      <c r="AN67" s="20">
        <f t="shared" si="3"/>
        <v>2.9999999999972715E-2</v>
      </c>
      <c r="AO67" s="2"/>
      <c r="AP67">
        <f t="shared" si="68"/>
        <v>59</v>
      </c>
      <c r="AQ67">
        <v>20</v>
      </c>
      <c r="AR67">
        <f t="shared" si="69"/>
        <v>1180</v>
      </c>
      <c r="AS67" s="19">
        <v>1180.3800000000001</v>
      </c>
      <c r="AT67" s="23">
        <f t="shared" si="70"/>
        <v>19.950000000000045</v>
      </c>
      <c r="AU67" s="6">
        <f t="shared" si="43"/>
        <v>0.38000000000010914</v>
      </c>
      <c r="AV67" s="27">
        <f t="shared" si="71"/>
        <v>-4.9999999999954525E-2</v>
      </c>
      <c r="AW67" s="27"/>
      <c r="AX67" s="27"/>
      <c r="AY67" s="2">
        <f t="shared" si="44"/>
        <v>1180.403</v>
      </c>
      <c r="AZ67" s="23">
        <f t="shared" si="45"/>
        <v>19.962000000000035</v>
      </c>
      <c r="BA67" s="6">
        <f t="shared" si="46"/>
        <v>0.40300000000006547</v>
      </c>
      <c r="BB67" s="27">
        <f t="shared" si="47"/>
        <v>-3.7999999999965436E-2</v>
      </c>
      <c r="BC67" s="27"/>
      <c r="BD67" s="36"/>
      <c r="BF67">
        <f t="shared" si="4"/>
        <v>18</v>
      </c>
      <c r="BG67">
        <f t="shared" si="5"/>
        <v>-20</v>
      </c>
      <c r="BH67">
        <f t="shared" si="6"/>
        <v>1160</v>
      </c>
      <c r="BI67" s="19">
        <v>-359.60500000000002</v>
      </c>
      <c r="BJ67" s="2">
        <f t="shared" si="7"/>
        <v>1160.3950000000004</v>
      </c>
      <c r="BK67" s="23">
        <f t="shared" si="8"/>
        <v>-20</v>
      </c>
      <c r="BL67" s="6">
        <f t="shared" si="9"/>
        <v>-0.39500000000043656</v>
      </c>
      <c r="BM67" s="12">
        <f t="shared" si="10"/>
        <v>0</v>
      </c>
      <c r="BO67" s="20">
        <f t="shared" si="48"/>
        <v>4.9999999999954525E-3</v>
      </c>
      <c r="BQ67">
        <f t="shared" si="11"/>
        <v>18</v>
      </c>
      <c r="BR67">
        <f t="shared" si="12"/>
        <v>-20</v>
      </c>
      <c r="BS67">
        <f t="shared" si="13"/>
        <v>1160</v>
      </c>
      <c r="BT67" s="19">
        <v>-359.625</v>
      </c>
      <c r="BU67" s="2">
        <f t="shared" si="14"/>
        <v>1160.3749999999995</v>
      </c>
      <c r="BV67" s="23">
        <f t="shared" si="72"/>
        <v>-19.995000000000005</v>
      </c>
      <c r="BW67" s="6">
        <f t="shared" si="16"/>
        <v>-0.37499999999954525</v>
      </c>
      <c r="BX67" s="12">
        <f t="shared" si="17"/>
        <v>-4.9999999999954525E-3</v>
      </c>
      <c r="BY67" s="12"/>
      <c r="BZ67" s="20">
        <f t="shared" si="49"/>
        <v>-4.9999999999954525E-3</v>
      </c>
      <c r="CB67">
        <f t="shared" si="18"/>
        <v>18</v>
      </c>
      <c r="CC67">
        <f t="shared" si="19"/>
        <v>-20</v>
      </c>
      <c r="CD67">
        <f t="shared" si="20"/>
        <v>1160</v>
      </c>
      <c r="CE67" s="19">
        <v>-359.63</v>
      </c>
      <c r="CF67" s="2">
        <f t="shared" si="21"/>
        <v>1160.3700000000001</v>
      </c>
      <c r="CG67" s="23">
        <f t="shared" si="73"/>
        <v>-20</v>
      </c>
      <c r="CH67" s="6">
        <f t="shared" si="23"/>
        <v>-0.37000000000011823</v>
      </c>
      <c r="CI67" s="12">
        <f t="shared" si="24"/>
        <v>0</v>
      </c>
      <c r="CK67" s="20">
        <f t="shared" si="50"/>
        <v>-9.9999999999909051E-3</v>
      </c>
      <c r="CM67">
        <f t="shared" si="25"/>
        <v>18</v>
      </c>
      <c r="CN67">
        <f t="shared" si="26"/>
        <v>-20</v>
      </c>
      <c r="CO67">
        <f t="shared" si="27"/>
        <v>1160</v>
      </c>
      <c r="CP67" s="19">
        <v>-359.63499999999999</v>
      </c>
      <c r="CQ67" s="2">
        <f t="shared" si="28"/>
        <v>1160.365</v>
      </c>
      <c r="CR67" s="23">
        <f t="shared" si="74"/>
        <v>-20.009999999999991</v>
      </c>
      <c r="CS67" s="6">
        <f t="shared" si="30"/>
        <v>-0.36500000000000909</v>
      </c>
      <c r="CT67" s="12">
        <f t="shared" si="31"/>
        <v>9.9999999999909051E-3</v>
      </c>
      <c r="CV67" s="20">
        <f t="shared" si="51"/>
        <v>9.9999999999909051E-3</v>
      </c>
      <c r="CX67">
        <f t="shared" si="32"/>
        <v>18</v>
      </c>
      <c r="CY67">
        <f t="shared" si="33"/>
        <v>-20</v>
      </c>
      <c r="CZ67">
        <f t="shared" si="34"/>
        <v>1160</v>
      </c>
      <c r="DA67" s="19">
        <v>-359.63499999999999</v>
      </c>
      <c r="DB67" s="2">
        <f t="shared" si="35"/>
        <v>1160.3649999999998</v>
      </c>
      <c r="DC67" s="23">
        <f t="shared" si="75"/>
        <v>-20</v>
      </c>
      <c r="DD67" s="6">
        <f t="shared" si="37"/>
        <v>-0.36499999999978172</v>
      </c>
      <c r="DE67" s="12">
        <f t="shared" si="38"/>
        <v>0</v>
      </c>
      <c r="DM67" s="2"/>
      <c r="DN67" s="2"/>
      <c r="DO67" s="6"/>
      <c r="DP67" s="2"/>
      <c r="DQ67" s="10"/>
    </row>
    <row r="68" spans="2:121" x14ac:dyDescent="0.45">
      <c r="B68">
        <f t="shared" si="52"/>
        <v>60</v>
      </c>
      <c r="C68">
        <v>20</v>
      </c>
      <c r="D68">
        <f t="shared" si="53"/>
        <v>1200</v>
      </c>
      <c r="E68" s="19">
        <v>1200.4100000000001</v>
      </c>
      <c r="F68" s="23">
        <f t="shared" si="54"/>
        <v>20.005000000000109</v>
      </c>
      <c r="G68" s="6">
        <f t="shared" si="39"/>
        <v>0.41000000000008185</v>
      </c>
      <c r="H68" s="12">
        <f t="shared" si="55"/>
        <v>5.0000000001091394E-3</v>
      </c>
      <c r="J68" s="20">
        <f t="shared" si="0"/>
        <v>-2.5000000000090949E-2</v>
      </c>
      <c r="K68" s="2"/>
      <c r="L68">
        <f t="shared" si="56"/>
        <v>60</v>
      </c>
      <c r="M68">
        <v>20</v>
      </c>
      <c r="N68">
        <f t="shared" si="57"/>
        <v>1200</v>
      </c>
      <c r="O68" s="19">
        <v>1200.42</v>
      </c>
      <c r="P68" s="23">
        <f t="shared" si="58"/>
        <v>19.980000000000018</v>
      </c>
      <c r="Q68" s="6">
        <f t="shared" si="40"/>
        <v>0.42000000000007276</v>
      </c>
      <c r="R68" s="27">
        <f t="shared" si="59"/>
        <v>-1.999999999998181E-2</v>
      </c>
      <c r="S68" s="27"/>
      <c r="T68" s="20">
        <f t="shared" si="1"/>
        <v>3.999999999996362E-2</v>
      </c>
      <c r="U68" s="2"/>
      <c r="V68">
        <f t="shared" si="60"/>
        <v>60</v>
      </c>
      <c r="W68">
        <v>20</v>
      </c>
      <c r="X68">
        <f t="shared" si="61"/>
        <v>1200</v>
      </c>
      <c r="Y68" s="19">
        <v>1200.42</v>
      </c>
      <c r="Z68" s="23">
        <f t="shared" si="62"/>
        <v>20.019999999999982</v>
      </c>
      <c r="AA68" s="6">
        <f t="shared" si="41"/>
        <v>0.42000000000007276</v>
      </c>
      <c r="AB68" s="27">
        <f t="shared" si="63"/>
        <v>1.999999999998181E-2</v>
      </c>
      <c r="AC68" s="27"/>
      <c r="AD68" s="20">
        <f t="shared" si="2"/>
        <v>2.9999999999972715E-2</v>
      </c>
      <c r="AE68" s="2"/>
      <c r="AF68">
        <f t="shared" si="64"/>
        <v>60</v>
      </c>
      <c r="AG68">
        <v>20</v>
      </c>
      <c r="AH68">
        <f t="shared" si="65"/>
        <v>1200</v>
      </c>
      <c r="AI68" s="19">
        <v>1200.44</v>
      </c>
      <c r="AJ68" s="23">
        <f t="shared" si="66"/>
        <v>20.049999999999955</v>
      </c>
      <c r="AK68" s="6">
        <f t="shared" si="42"/>
        <v>0.44000000000005457</v>
      </c>
      <c r="AL68" s="27">
        <f t="shared" si="67"/>
        <v>4.9999999999954525E-2</v>
      </c>
      <c r="AM68" s="27"/>
      <c r="AN68" s="20">
        <f t="shared" si="3"/>
        <v>-5.0000000001091394E-3</v>
      </c>
      <c r="AO68" s="2"/>
      <c r="AP68">
        <f t="shared" si="68"/>
        <v>60</v>
      </c>
      <c r="AQ68">
        <v>20</v>
      </c>
      <c r="AR68">
        <f t="shared" si="69"/>
        <v>1200</v>
      </c>
      <c r="AS68" s="19">
        <v>1200.425</v>
      </c>
      <c r="AT68" s="23">
        <f t="shared" si="70"/>
        <v>20.044999999999845</v>
      </c>
      <c r="AU68" s="6">
        <f t="shared" si="43"/>
        <v>0.42499999999995453</v>
      </c>
      <c r="AV68" s="27">
        <f t="shared" si="71"/>
        <v>4.4999999999845386E-2</v>
      </c>
      <c r="AW68" s="27"/>
      <c r="AX68" s="27"/>
      <c r="AY68" s="2">
        <f t="shared" si="44"/>
        <v>1200.4230000000002</v>
      </c>
      <c r="AZ68" s="23">
        <f t="shared" si="45"/>
        <v>20.019999999999982</v>
      </c>
      <c r="BA68" s="6">
        <f t="shared" si="46"/>
        <v>0.42300000000004728</v>
      </c>
      <c r="BB68" s="27">
        <f t="shared" si="47"/>
        <v>1.999999999998181E-2</v>
      </c>
      <c r="BC68" s="27"/>
      <c r="BD68" s="36"/>
      <c r="BF68">
        <f t="shared" si="4"/>
        <v>17</v>
      </c>
      <c r="BG68">
        <f t="shared" si="5"/>
        <v>-20</v>
      </c>
      <c r="BH68">
        <f t="shared" si="6"/>
        <v>1180</v>
      </c>
      <c r="BI68" s="19">
        <v>-339.60500000000002</v>
      </c>
      <c r="BJ68" s="2">
        <f t="shared" si="7"/>
        <v>1180.3950000000004</v>
      </c>
      <c r="BK68" s="23">
        <f t="shared" si="8"/>
        <v>-20.020000000000039</v>
      </c>
      <c r="BL68" s="6">
        <f t="shared" si="9"/>
        <v>-0.39500000000043656</v>
      </c>
      <c r="BM68" s="12">
        <f t="shared" si="10"/>
        <v>2.0000000000038654E-2</v>
      </c>
      <c r="BO68" s="20">
        <f t="shared" si="48"/>
        <v>-2.9999999999972715E-2</v>
      </c>
      <c r="BQ68">
        <f t="shared" si="11"/>
        <v>17</v>
      </c>
      <c r="BR68">
        <f t="shared" si="12"/>
        <v>-20</v>
      </c>
      <c r="BS68">
        <f t="shared" si="13"/>
        <v>1180</v>
      </c>
      <c r="BT68" s="19">
        <v>-339.63</v>
      </c>
      <c r="BU68" s="2">
        <f t="shared" si="14"/>
        <v>1180.3699999999997</v>
      </c>
      <c r="BV68" s="23">
        <f t="shared" si="72"/>
        <v>-20.050000000000011</v>
      </c>
      <c r="BW68" s="6">
        <f t="shared" si="16"/>
        <v>-0.36999999999966349</v>
      </c>
      <c r="BX68" s="12">
        <f t="shared" si="17"/>
        <v>5.0000000000011369E-2</v>
      </c>
      <c r="BY68" s="12"/>
      <c r="BZ68" s="20">
        <f t="shared" si="49"/>
        <v>4.9999999999954525E-3</v>
      </c>
      <c r="CB68">
        <f t="shared" si="18"/>
        <v>17</v>
      </c>
      <c r="CC68">
        <f t="shared" si="19"/>
        <v>-20</v>
      </c>
      <c r="CD68">
        <f t="shared" si="20"/>
        <v>1180</v>
      </c>
      <c r="CE68" s="19">
        <v>-339.63</v>
      </c>
      <c r="CF68" s="2">
        <f t="shared" si="21"/>
        <v>1180.3700000000001</v>
      </c>
      <c r="CG68" s="23">
        <f t="shared" si="73"/>
        <v>-20.045000000000016</v>
      </c>
      <c r="CH68" s="6">
        <f t="shared" si="23"/>
        <v>-0.37000000000011823</v>
      </c>
      <c r="CI68" s="12">
        <f t="shared" si="24"/>
        <v>4.5000000000015916E-2</v>
      </c>
      <c r="CK68" s="20">
        <f t="shared" si="50"/>
        <v>0</v>
      </c>
      <c r="CM68">
        <f t="shared" si="25"/>
        <v>17</v>
      </c>
      <c r="CN68">
        <f t="shared" si="26"/>
        <v>-20</v>
      </c>
      <c r="CO68">
        <f t="shared" si="27"/>
        <v>1180</v>
      </c>
      <c r="CP68" s="19">
        <v>-339.625</v>
      </c>
      <c r="CQ68" s="2">
        <f t="shared" si="28"/>
        <v>1180.375</v>
      </c>
      <c r="CR68" s="23">
        <f t="shared" si="74"/>
        <v>-20.045000000000016</v>
      </c>
      <c r="CS68" s="6">
        <f t="shared" si="30"/>
        <v>-0.375</v>
      </c>
      <c r="CT68" s="12">
        <f t="shared" si="31"/>
        <v>4.5000000000015916E-2</v>
      </c>
      <c r="CV68" s="20">
        <f t="shared" si="51"/>
        <v>0</v>
      </c>
      <c r="CX68">
        <f t="shared" si="32"/>
        <v>17</v>
      </c>
      <c r="CY68">
        <f t="shared" si="33"/>
        <v>-20</v>
      </c>
      <c r="CZ68">
        <f t="shared" si="34"/>
        <v>1180</v>
      </c>
      <c r="DA68" s="19">
        <v>-339.63499999999999</v>
      </c>
      <c r="DB68" s="2">
        <f t="shared" si="35"/>
        <v>1180.3649999999998</v>
      </c>
      <c r="DC68" s="23">
        <f t="shared" si="75"/>
        <v>-20.045000000000016</v>
      </c>
      <c r="DD68" s="6">
        <f t="shared" si="37"/>
        <v>-0.36499999999978172</v>
      </c>
      <c r="DE68" s="12">
        <f t="shared" si="38"/>
        <v>4.5000000000015916E-2</v>
      </c>
      <c r="DM68" s="2"/>
      <c r="DN68" s="2"/>
      <c r="DO68" s="6"/>
      <c r="DP68" s="2"/>
      <c r="DQ68" s="10"/>
    </row>
    <row r="69" spans="2:121" x14ac:dyDescent="0.45">
      <c r="B69">
        <f t="shared" si="52"/>
        <v>61</v>
      </c>
      <c r="C69">
        <v>20</v>
      </c>
      <c r="D69">
        <f t="shared" si="53"/>
        <v>1220</v>
      </c>
      <c r="E69" s="19">
        <v>1220.4349999999999</v>
      </c>
      <c r="F69" s="23">
        <f t="shared" si="54"/>
        <v>20.024999999999864</v>
      </c>
      <c r="G69" s="6">
        <f t="shared" si="39"/>
        <v>0.43499999999994543</v>
      </c>
      <c r="H69" s="12">
        <f t="shared" si="55"/>
        <v>2.4999999999863576E-2</v>
      </c>
      <c r="J69" s="20">
        <f t="shared" si="0"/>
        <v>9.9999999999909051E-3</v>
      </c>
      <c r="K69" s="2"/>
      <c r="L69">
        <f t="shared" si="56"/>
        <v>61</v>
      </c>
      <c r="M69">
        <v>20</v>
      </c>
      <c r="N69">
        <f t="shared" si="57"/>
        <v>1220</v>
      </c>
      <c r="O69" s="19">
        <v>1220.4549999999999</v>
      </c>
      <c r="P69" s="23">
        <f t="shared" si="58"/>
        <v>20.034999999999854</v>
      </c>
      <c r="Q69" s="6">
        <f t="shared" si="40"/>
        <v>0.45499999999992724</v>
      </c>
      <c r="R69" s="27">
        <f t="shared" si="59"/>
        <v>3.4999999999854481E-2</v>
      </c>
      <c r="S69" s="27"/>
      <c r="T69" s="20">
        <f t="shared" si="1"/>
        <v>-2.4999999999863576E-2</v>
      </c>
      <c r="U69" s="2"/>
      <c r="V69">
        <f t="shared" si="60"/>
        <v>61</v>
      </c>
      <c r="W69">
        <v>20</v>
      </c>
      <c r="X69">
        <f t="shared" si="61"/>
        <v>1220</v>
      </c>
      <c r="Y69" s="19">
        <v>1220.43</v>
      </c>
      <c r="Z69" s="23">
        <f t="shared" si="62"/>
        <v>20.009999999999991</v>
      </c>
      <c r="AA69" s="6">
        <f t="shared" si="41"/>
        <v>0.43000000000006366</v>
      </c>
      <c r="AB69" s="27">
        <f t="shared" si="63"/>
        <v>9.9999999999909051E-3</v>
      </c>
      <c r="AC69" s="27"/>
      <c r="AD69" s="20">
        <f t="shared" si="2"/>
        <v>-2.9999999999972715E-2</v>
      </c>
      <c r="AE69" s="2"/>
      <c r="AF69">
        <f t="shared" si="64"/>
        <v>61</v>
      </c>
      <c r="AG69">
        <v>20</v>
      </c>
      <c r="AH69">
        <f t="shared" si="65"/>
        <v>1220</v>
      </c>
      <c r="AI69" s="19">
        <v>1220.42</v>
      </c>
      <c r="AJ69" s="23">
        <f t="shared" si="66"/>
        <v>19.980000000000018</v>
      </c>
      <c r="AK69" s="6">
        <f t="shared" si="42"/>
        <v>0.42000000000007276</v>
      </c>
      <c r="AL69" s="27">
        <f t="shared" si="67"/>
        <v>-1.999999999998181E-2</v>
      </c>
      <c r="AM69" s="27"/>
      <c r="AN69" s="20">
        <f t="shared" si="3"/>
        <v>-4.9999999998817657E-3</v>
      </c>
      <c r="AO69" s="2"/>
      <c r="AP69">
        <f t="shared" si="68"/>
        <v>61</v>
      </c>
      <c r="AQ69">
        <v>20</v>
      </c>
      <c r="AR69">
        <f t="shared" si="69"/>
        <v>1220</v>
      </c>
      <c r="AS69" s="19">
        <v>1220.4000000000001</v>
      </c>
      <c r="AT69" s="23">
        <f t="shared" si="70"/>
        <v>19.975000000000136</v>
      </c>
      <c r="AU69" s="6">
        <f t="shared" si="43"/>
        <v>0.40000000000009095</v>
      </c>
      <c r="AV69" s="27">
        <f t="shared" si="71"/>
        <v>-2.4999999999863576E-2</v>
      </c>
      <c r="AW69" s="27"/>
      <c r="AX69" s="27"/>
      <c r="AY69" s="2">
        <f t="shared" si="44"/>
        <v>1220.4279999999999</v>
      </c>
      <c r="AZ69" s="23">
        <f t="shared" si="45"/>
        <v>20.004999999999974</v>
      </c>
      <c r="BA69" s="6">
        <f t="shared" si="46"/>
        <v>0.42800000000002003</v>
      </c>
      <c r="BB69" s="27">
        <f t="shared" si="47"/>
        <v>4.9999999999727155E-3</v>
      </c>
      <c r="BC69" s="27"/>
      <c r="BD69" s="36"/>
      <c r="BF69">
        <f t="shared" si="4"/>
        <v>16</v>
      </c>
      <c r="BG69">
        <f t="shared" si="5"/>
        <v>-20</v>
      </c>
      <c r="BH69">
        <f t="shared" si="6"/>
        <v>1200</v>
      </c>
      <c r="BI69" s="19">
        <v>-319.58499999999998</v>
      </c>
      <c r="BJ69" s="2">
        <f t="shared" si="7"/>
        <v>1200.4150000000004</v>
      </c>
      <c r="BK69" s="23">
        <f t="shared" si="8"/>
        <v>-20.089999999999975</v>
      </c>
      <c r="BL69" s="6">
        <f t="shared" si="9"/>
        <v>-0.41500000000041837</v>
      </c>
      <c r="BM69" s="12">
        <f t="shared" si="10"/>
        <v>8.9999999999974989E-2</v>
      </c>
      <c r="BO69" s="20">
        <f t="shared" si="48"/>
        <v>2.9999999999972715E-2</v>
      </c>
      <c r="BQ69">
        <f t="shared" si="11"/>
        <v>16</v>
      </c>
      <c r="BR69">
        <f t="shared" si="12"/>
        <v>-20</v>
      </c>
      <c r="BS69">
        <f t="shared" si="13"/>
        <v>1200</v>
      </c>
      <c r="BT69" s="19">
        <v>-319.58</v>
      </c>
      <c r="BU69" s="2">
        <f t="shared" si="14"/>
        <v>1200.4199999999996</v>
      </c>
      <c r="BV69" s="23">
        <f t="shared" si="72"/>
        <v>-20.060000000000002</v>
      </c>
      <c r="BW69" s="6">
        <f t="shared" si="16"/>
        <v>-0.41999999999961801</v>
      </c>
      <c r="BX69" s="12">
        <f t="shared" si="17"/>
        <v>6.0000000000002274E-2</v>
      </c>
      <c r="BY69" s="12"/>
      <c r="BZ69" s="20">
        <f t="shared" si="49"/>
        <v>-9.9999999999909051E-3</v>
      </c>
      <c r="CB69">
        <f t="shared" si="18"/>
        <v>16</v>
      </c>
      <c r="CC69">
        <f t="shared" si="19"/>
        <v>-20</v>
      </c>
      <c r="CD69">
        <f t="shared" si="20"/>
        <v>1200</v>
      </c>
      <c r="CE69" s="19">
        <v>-319.58499999999998</v>
      </c>
      <c r="CF69" s="2">
        <f t="shared" si="21"/>
        <v>1200.4150000000002</v>
      </c>
      <c r="CG69" s="23">
        <f t="shared" si="73"/>
        <v>-20.069999999999993</v>
      </c>
      <c r="CH69" s="6">
        <f t="shared" si="23"/>
        <v>-0.41500000000019099</v>
      </c>
      <c r="CI69" s="12">
        <f t="shared" si="24"/>
        <v>6.9999999999993179E-2</v>
      </c>
      <c r="CK69" s="20">
        <f t="shared" si="50"/>
        <v>4.9999999999954525E-3</v>
      </c>
      <c r="CM69">
        <f t="shared" si="25"/>
        <v>16</v>
      </c>
      <c r="CN69">
        <f t="shared" si="26"/>
        <v>-20</v>
      </c>
      <c r="CO69">
        <f t="shared" si="27"/>
        <v>1200</v>
      </c>
      <c r="CP69" s="19">
        <v>-319.58</v>
      </c>
      <c r="CQ69" s="2">
        <f t="shared" si="28"/>
        <v>1200.42</v>
      </c>
      <c r="CR69" s="23">
        <f t="shared" si="74"/>
        <v>-20.064999999999998</v>
      </c>
      <c r="CS69" s="6">
        <f t="shared" si="30"/>
        <v>-0.42000000000007276</v>
      </c>
      <c r="CT69" s="12">
        <f t="shared" si="31"/>
        <v>6.4999999999997726E-2</v>
      </c>
      <c r="CV69" s="20">
        <f t="shared" si="51"/>
        <v>4.9999999999954525E-3</v>
      </c>
      <c r="CX69">
        <f t="shared" si="32"/>
        <v>16</v>
      </c>
      <c r="CY69">
        <f t="shared" si="33"/>
        <v>-20</v>
      </c>
      <c r="CZ69">
        <f t="shared" si="34"/>
        <v>1200</v>
      </c>
      <c r="DA69" s="19">
        <v>-319.58999999999997</v>
      </c>
      <c r="DB69" s="2">
        <f t="shared" si="35"/>
        <v>1200.4099999999999</v>
      </c>
      <c r="DC69" s="23">
        <f t="shared" si="75"/>
        <v>-20.060000000000002</v>
      </c>
      <c r="DD69" s="6">
        <f t="shared" si="37"/>
        <v>-0.40999999999985448</v>
      </c>
      <c r="DE69" s="12">
        <f t="shared" si="38"/>
        <v>6.0000000000002274E-2</v>
      </c>
      <c r="DM69" s="2"/>
      <c r="DN69" s="2"/>
      <c r="DO69" s="6"/>
      <c r="DP69" s="2"/>
      <c r="DQ69" s="10"/>
    </row>
    <row r="70" spans="2:121" x14ac:dyDescent="0.45">
      <c r="B70">
        <f t="shared" si="52"/>
        <v>62</v>
      </c>
      <c r="C70">
        <v>20</v>
      </c>
      <c r="D70">
        <f t="shared" si="53"/>
        <v>1240</v>
      </c>
      <c r="E70" s="19">
        <v>1240.3900000000001</v>
      </c>
      <c r="F70" s="23">
        <f t="shared" si="54"/>
        <v>19.955000000000155</v>
      </c>
      <c r="G70" s="6">
        <f t="shared" si="39"/>
        <v>0.39000000000010004</v>
      </c>
      <c r="H70" s="12">
        <f t="shared" si="55"/>
        <v>-4.4999999999845386E-2</v>
      </c>
      <c r="J70" s="20">
        <f t="shared" si="0"/>
        <v>-1.5000000000100044E-2</v>
      </c>
      <c r="K70" s="2"/>
      <c r="L70">
        <f t="shared" si="56"/>
        <v>62</v>
      </c>
      <c r="M70">
        <v>20</v>
      </c>
      <c r="N70">
        <f t="shared" si="57"/>
        <v>1240</v>
      </c>
      <c r="O70" s="19">
        <v>1240.395</v>
      </c>
      <c r="P70" s="23">
        <f t="shared" si="58"/>
        <v>19.940000000000055</v>
      </c>
      <c r="Q70" s="6">
        <f t="shared" si="40"/>
        <v>0.39499999999998181</v>
      </c>
      <c r="R70" s="27">
        <f t="shared" si="59"/>
        <v>-5.999999999994543E-2</v>
      </c>
      <c r="S70" s="27"/>
      <c r="T70" s="20">
        <f t="shared" si="1"/>
        <v>1.999999999998181E-2</v>
      </c>
      <c r="U70" s="2"/>
      <c r="V70">
        <f t="shared" si="60"/>
        <v>62</v>
      </c>
      <c r="W70">
        <v>20</v>
      </c>
      <c r="X70">
        <f t="shared" si="61"/>
        <v>1240</v>
      </c>
      <c r="Y70" s="19">
        <v>1240.3900000000001</v>
      </c>
      <c r="Z70" s="23">
        <f t="shared" si="62"/>
        <v>19.960000000000036</v>
      </c>
      <c r="AA70" s="6">
        <f t="shared" si="41"/>
        <v>0.39000000000010004</v>
      </c>
      <c r="AB70" s="27">
        <f t="shared" si="63"/>
        <v>-3.999999999996362E-2</v>
      </c>
      <c r="AC70" s="27"/>
      <c r="AD70" s="20">
        <f t="shared" si="2"/>
        <v>9.9999999999909051E-3</v>
      </c>
      <c r="AE70" s="2"/>
      <c r="AF70">
        <f t="shared" si="64"/>
        <v>62</v>
      </c>
      <c r="AG70">
        <v>20</v>
      </c>
      <c r="AH70">
        <f t="shared" si="65"/>
        <v>1240</v>
      </c>
      <c r="AI70" s="19">
        <v>1240.3900000000001</v>
      </c>
      <c r="AJ70" s="23">
        <f t="shared" si="66"/>
        <v>19.970000000000027</v>
      </c>
      <c r="AK70" s="6">
        <f t="shared" si="42"/>
        <v>0.39000000000010004</v>
      </c>
      <c r="AL70" s="27">
        <f t="shared" si="67"/>
        <v>-2.9999999999972715E-2</v>
      </c>
      <c r="AM70" s="27"/>
      <c r="AN70" s="20">
        <f t="shared" si="3"/>
        <v>1.4999999999872671E-2</v>
      </c>
      <c r="AO70" s="2"/>
      <c r="AP70">
        <f t="shared" si="68"/>
        <v>62</v>
      </c>
      <c r="AQ70">
        <v>20</v>
      </c>
      <c r="AR70">
        <f t="shared" si="69"/>
        <v>1240</v>
      </c>
      <c r="AS70" s="19">
        <v>1240.385</v>
      </c>
      <c r="AT70" s="23">
        <f t="shared" si="70"/>
        <v>19.9849999999999</v>
      </c>
      <c r="AU70" s="6">
        <f t="shared" si="43"/>
        <v>0.38499999999999091</v>
      </c>
      <c r="AV70" s="27">
        <f t="shared" si="71"/>
        <v>-1.5000000000100044E-2</v>
      </c>
      <c r="AW70" s="27"/>
      <c r="AX70" s="27"/>
      <c r="AY70" s="2">
        <f t="shared" si="44"/>
        <v>1240.3900000000001</v>
      </c>
      <c r="AZ70" s="23">
        <f t="shared" si="45"/>
        <v>19.962000000000035</v>
      </c>
      <c r="BA70" s="6">
        <f t="shared" si="46"/>
        <v>0.39000000000005458</v>
      </c>
      <c r="BB70" s="27">
        <f t="shared" si="47"/>
        <v>-3.7999999999965436E-2</v>
      </c>
      <c r="BC70" s="27"/>
      <c r="BD70" s="36"/>
      <c r="BF70">
        <f t="shared" si="4"/>
        <v>15</v>
      </c>
      <c r="BG70">
        <f t="shared" si="5"/>
        <v>-20</v>
      </c>
      <c r="BH70">
        <f t="shared" si="6"/>
        <v>1220</v>
      </c>
      <c r="BI70" s="19">
        <v>-299.495</v>
      </c>
      <c r="BJ70" s="2">
        <f t="shared" si="7"/>
        <v>1220.5050000000003</v>
      </c>
      <c r="BK70" s="23">
        <f t="shared" si="8"/>
        <v>-20.050000000000011</v>
      </c>
      <c r="BL70" s="6">
        <f t="shared" si="9"/>
        <v>-0.50500000000033651</v>
      </c>
      <c r="BM70" s="12">
        <f t="shared" si="10"/>
        <v>5.0000000000011369E-2</v>
      </c>
      <c r="BO70" s="20">
        <f t="shared" si="48"/>
        <v>-4.9999999999954525E-3</v>
      </c>
      <c r="BQ70">
        <f t="shared" si="11"/>
        <v>15</v>
      </c>
      <c r="BR70">
        <f t="shared" si="12"/>
        <v>-20</v>
      </c>
      <c r="BS70">
        <f t="shared" si="13"/>
        <v>1220</v>
      </c>
      <c r="BT70" s="19">
        <v>-299.52</v>
      </c>
      <c r="BU70" s="2">
        <f t="shared" si="14"/>
        <v>1220.4799999999996</v>
      </c>
      <c r="BV70" s="23">
        <f t="shared" si="72"/>
        <v>-20.055000000000007</v>
      </c>
      <c r="BW70" s="6">
        <f t="shared" si="16"/>
        <v>-0.47999999999956344</v>
      </c>
      <c r="BX70" s="12">
        <f t="shared" si="17"/>
        <v>5.5000000000006821E-2</v>
      </c>
      <c r="BY70" s="12"/>
      <c r="BZ70" s="20">
        <f t="shared" si="49"/>
        <v>4.9999999999954525E-3</v>
      </c>
      <c r="CB70">
        <f t="shared" si="18"/>
        <v>15</v>
      </c>
      <c r="CC70">
        <f t="shared" si="19"/>
        <v>-20</v>
      </c>
      <c r="CD70">
        <f t="shared" si="20"/>
        <v>1220</v>
      </c>
      <c r="CE70" s="19">
        <v>-299.51499999999999</v>
      </c>
      <c r="CF70" s="2">
        <f t="shared" si="21"/>
        <v>1220.4850000000001</v>
      </c>
      <c r="CG70" s="23">
        <f t="shared" si="73"/>
        <v>-20.050000000000011</v>
      </c>
      <c r="CH70" s="6">
        <f t="shared" si="23"/>
        <v>-0.48500000000012733</v>
      </c>
      <c r="CI70" s="12">
        <f t="shared" si="24"/>
        <v>5.0000000000011369E-2</v>
      </c>
      <c r="CK70" s="20">
        <f t="shared" si="50"/>
        <v>-4.9999999999954525E-3</v>
      </c>
      <c r="CM70">
        <f t="shared" si="25"/>
        <v>15</v>
      </c>
      <c r="CN70">
        <f t="shared" si="26"/>
        <v>-20</v>
      </c>
      <c r="CO70">
        <f t="shared" si="27"/>
        <v>1220</v>
      </c>
      <c r="CP70" s="19">
        <v>-299.51499999999999</v>
      </c>
      <c r="CQ70" s="2">
        <f t="shared" si="28"/>
        <v>1220.4850000000001</v>
      </c>
      <c r="CR70" s="23">
        <f t="shared" si="74"/>
        <v>-20.055000000000007</v>
      </c>
      <c r="CS70" s="6">
        <f t="shared" si="30"/>
        <v>-0.48500000000012733</v>
      </c>
      <c r="CT70" s="12">
        <f t="shared" si="31"/>
        <v>5.5000000000006821E-2</v>
      </c>
      <c r="CV70" s="20">
        <f t="shared" si="51"/>
        <v>5.6843418860808015E-14</v>
      </c>
      <c r="CX70">
        <f t="shared" si="32"/>
        <v>15</v>
      </c>
      <c r="CY70">
        <f t="shared" si="33"/>
        <v>-20</v>
      </c>
      <c r="CZ70">
        <f t="shared" si="34"/>
        <v>1220</v>
      </c>
      <c r="DA70" s="19">
        <v>-299.52999999999997</v>
      </c>
      <c r="DB70" s="2">
        <f t="shared" si="35"/>
        <v>1220.4699999999998</v>
      </c>
      <c r="DC70" s="23">
        <f t="shared" si="75"/>
        <v>-20.05499999999995</v>
      </c>
      <c r="DD70" s="6">
        <f t="shared" si="37"/>
        <v>-0.46999999999979991</v>
      </c>
      <c r="DE70" s="12">
        <f t="shared" si="38"/>
        <v>5.4999999999949978E-2</v>
      </c>
      <c r="DM70" s="2"/>
      <c r="DN70" s="2"/>
      <c r="DO70" s="6"/>
      <c r="DP70" s="2"/>
      <c r="DQ70" s="10"/>
    </row>
    <row r="71" spans="2:121" x14ac:dyDescent="0.45">
      <c r="B71">
        <f t="shared" si="52"/>
        <v>63</v>
      </c>
      <c r="C71">
        <v>20</v>
      </c>
      <c r="D71">
        <f t="shared" si="53"/>
        <v>1260</v>
      </c>
      <c r="E71" s="19">
        <v>1260.395</v>
      </c>
      <c r="F71" s="23">
        <f t="shared" si="54"/>
        <v>20.004999999999882</v>
      </c>
      <c r="G71" s="6">
        <f t="shared" si="39"/>
        <v>0.39499999999998181</v>
      </c>
      <c r="H71" s="12">
        <f t="shared" si="55"/>
        <v>4.9999999998817657E-3</v>
      </c>
      <c r="J71" s="20">
        <f t="shared" si="0"/>
        <v>-9.9999999997635314E-3</v>
      </c>
      <c r="K71" s="2"/>
      <c r="L71">
        <f t="shared" si="56"/>
        <v>63</v>
      </c>
      <c r="M71">
        <v>20</v>
      </c>
      <c r="N71">
        <f t="shared" si="57"/>
        <v>1260</v>
      </c>
      <c r="O71" s="19">
        <v>1260.3900000000001</v>
      </c>
      <c r="P71" s="23">
        <f t="shared" si="58"/>
        <v>19.995000000000118</v>
      </c>
      <c r="Q71" s="6">
        <f t="shared" si="40"/>
        <v>0.39000000000010004</v>
      </c>
      <c r="R71" s="27">
        <f t="shared" si="59"/>
        <v>-4.9999999998817657E-3</v>
      </c>
      <c r="S71" s="27"/>
      <c r="T71" s="20">
        <f t="shared" si="1"/>
        <v>-2.2737367544323206E-13</v>
      </c>
      <c r="U71" s="2"/>
      <c r="V71">
        <f t="shared" si="60"/>
        <v>63</v>
      </c>
      <c r="W71">
        <v>20</v>
      </c>
      <c r="X71">
        <f t="shared" si="61"/>
        <v>1260</v>
      </c>
      <c r="Y71" s="19">
        <v>1260.385</v>
      </c>
      <c r="Z71" s="23">
        <f t="shared" si="62"/>
        <v>19.994999999999891</v>
      </c>
      <c r="AA71" s="6">
        <f t="shared" si="41"/>
        <v>0.38499999999999091</v>
      </c>
      <c r="AB71" s="27">
        <f t="shared" si="63"/>
        <v>-5.0000000001091394E-3</v>
      </c>
      <c r="AC71" s="27"/>
      <c r="AD71" s="20">
        <f t="shared" si="2"/>
        <v>0</v>
      </c>
      <c r="AE71" s="2"/>
      <c r="AF71">
        <f t="shared" si="64"/>
        <v>63</v>
      </c>
      <c r="AG71">
        <v>20</v>
      </c>
      <c r="AH71">
        <f t="shared" si="65"/>
        <v>1260</v>
      </c>
      <c r="AI71" s="19">
        <v>1260.385</v>
      </c>
      <c r="AJ71" s="23">
        <f t="shared" si="66"/>
        <v>19.994999999999891</v>
      </c>
      <c r="AK71" s="6">
        <f t="shared" si="42"/>
        <v>0.38499999999999091</v>
      </c>
      <c r="AL71" s="27">
        <f t="shared" si="67"/>
        <v>-5.0000000001091394E-3</v>
      </c>
      <c r="AM71" s="27"/>
      <c r="AN71" s="20">
        <f t="shared" si="3"/>
        <v>-9.9999999999909051E-3</v>
      </c>
      <c r="AO71" s="2"/>
      <c r="AP71">
        <f t="shared" si="68"/>
        <v>63</v>
      </c>
      <c r="AQ71">
        <v>20</v>
      </c>
      <c r="AR71">
        <f t="shared" si="69"/>
        <v>1260</v>
      </c>
      <c r="AS71" s="19">
        <v>1260.3699999999999</v>
      </c>
      <c r="AT71" s="23">
        <f t="shared" si="70"/>
        <v>19.9849999999999</v>
      </c>
      <c r="AU71" s="6">
        <f t="shared" si="43"/>
        <v>0.36999999999989086</v>
      </c>
      <c r="AV71" s="27">
        <f t="shared" si="71"/>
        <v>-1.5000000000100044E-2</v>
      </c>
      <c r="AW71" s="27"/>
      <c r="AX71" s="27"/>
      <c r="AY71" s="2">
        <f t="shared" si="44"/>
        <v>1260.385</v>
      </c>
      <c r="AZ71" s="23">
        <f t="shared" si="45"/>
        <v>19.994999999999937</v>
      </c>
      <c r="BA71" s="6">
        <f t="shared" si="46"/>
        <v>0.38499999999999091</v>
      </c>
      <c r="BB71" s="27">
        <f t="shared" si="47"/>
        <v>-5.0000000000636645E-3</v>
      </c>
      <c r="BC71" s="27"/>
      <c r="BD71" s="36"/>
      <c r="BF71">
        <f t="shared" si="4"/>
        <v>14</v>
      </c>
      <c r="BG71">
        <f t="shared" si="5"/>
        <v>-20</v>
      </c>
      <c r="BH71">
        <f t="shared" si="6"/>
        <v>1240</v>
      </c>
      <c r="BI71" s="19">
        <v>-279.44499999999999</v>
      </c>
      <c r="BJ71" s="2">
        <f t="shared" si="7"/>
        <v>1240.5550000000003</v>
      </c>
      <c r="BK71" s="23">
        <f t="shared" si="8"/>
        <v>-20.014999999999986</v>
      </c>
      <c r="BL71" s="6">
        <f t="shared" si="9"/>
        <v>-0.55500000000029104</v>
      </c>
      <c r="BM71" s="12">
        <f t="shared" si="10"/>
        <v>1.4999999999986358E-2</v>
      </c>
      <c r="BO71" s="20">
        <f t="shared" si="48"/>
        <v>4.9999999999954525E-3</v>
      </c>
      <c r="BQ71">
        <f t="shared" si="11"/>
        <v>14</v>
      </c>
      <c r="BR71">
        <f t="shared" si="12"/>
        <v>-20</v>
      </c>
      <c r="BS71">
        <f t="shared" si="13"/>
        <v>1240</v>
      </c>
      <c r="BT71" s="19">
        <v>-279.46499999999997</v>
      </c>
      <c r="BU71" s="2">
        <f t="shared" si="14"/>
        <v>1240.5349999999996</v>
      </c>
      <c r="BV71" s="23">
        <f t="shared" si="72"/>
        <v>-20.009999999999991</v>
      </c>
      <c r="BW71" s="6">
        <f t="shared" si="16"/>
        <v>-0.53499999999962711</v>
      </c>
      <c r="BX71" s="12">
        <f t="shared" si="17"/>
        <v>9.9999999999909051E-3</v>
      </c>
      <c r="BY71" s="12"/>
      <c r="BZ71" s="20">
        <f t="shared" si="49"/>
        <v>0</v>
      </c>
      <c r="CB71">
        <f t="shared" si="18"/>
        <v>14</v>
      </c>
      <c r="CC71">
        <f t="shared" si="19"/>
        <v>-20</v>
      </c>
      <c r="CD71">
        <f t="shared" si="20"/>
        <v>1240</v>
      </c>
      <c r="CE71" s="19">
        <v>-279.46499999999997</v>
      </c>
      <c r="CF71" s="2">
        <f t="shared" si="21"/>
        <v>1240.5350000000001</v>
      </c>
      <c r="CG71" s="23">
        <f t="shared" si="73"/>
        <v>-20.009999999999991</v>
      </c>
      <c r="CH71" s="6">
        <f t="shared" si="23"/>
        <v>-0.53500000000008185</v>
      </c>
      <c r="CI71" s="12">
        <f t="shared" si="24"/>
        <v>9.9999999999909051E-3</v>
      </c>
      <c r="CK71" s="20">
        <f t="shared" si="50"/>
        <v>0</v>
      </c>
      <c r="CM71">
        <f t="shared" si="25"/>
        <v>14</v>
      </c>
      <c r="CN71">
        <f t="shared" si="26"/>
        <v>-20</v>
      </c>
      <c r="CO71">
        <f t="shared" si="27"/>
        <v>1240</v>
      </c>
      <c r="CP71" s="19">
        <v>-279.45999999999998</v>
      </c>
      <c r="CQ71" s="2">
        <f t="shared" si="28"/>
        <v>1240.5400000000002</v>
      </c>
      <c r="CR71" s="23">
        <f t="shared" si="74"/>
        <v>-20.009999999999991</v>
      </c>
      <c r="CS71" s="6">
        <f t="shared" si="30"/>
        <v>-0.54000000000019099</v>
      </c>
      <c r="CT71" s="12">
        <f t="shared" si="31"/>
        <v>9.9999999999909051E-3</v>
      </c>
      <c r="CV71" s="20">
        <f t="shared" si="51"/>
        <v>7.4999999999988631E-2</v>
      </c>
      <c r="CX71">
        <f t="shared" si="32"/>
        <v>14</v>
      </c>
      <c r="CY71">
        <f t="shared" si="33"/>
        <v>-20</v>
      </c>
      <c r="CZ71">
        <f t="shared" si="34"/>
        <v>1240</v>
      </c>
      <c r="DA71" s="19">
        <v>-279.47500000000002</v>
      </c>
      <c r="DB71" s="2">
        <f t="shared" si="35"/>
        <v>1240.5249999999996</v>
      </c>
      <c r="DC71" s="23">
        <f t="shared" si="75"/>
        <v>-19.935000000000002</v>
      </c>
      <c r="DD71" s="6">
        <f t="shared" si="37"/>
        <v>-0.5249999999996362</v>
      </c>
      <c r="DE71" s="12">
        <f t="shared" si="38"/>
        <v>-6.4999999999997726E-2</v>
      </c>
      <c r="DM71" s="2"/>
      <c r="DN71" s="2"/>
      <c r="DO71" s="6"/>
      <c r="DP71" s="2"/>
      <c r="DQ71" s="10"/>
    </row>
    <row r="72" spans="2:121" x14ac:dyDescent="0.45">
      <c r="B72">
        <f t="shared" si="52"/>
        <v>64</v>
      </c>
      <c r="C72">
        <v>20</v>
      </c>
      <c r="D72">
        <f t="shared" si="53"/>
        <v>1280</v>
      </c>
      <c r="E72" s="19">
        <v>1280.33</v>
      </c>
      <c r="F72" s="23">
        <f t="shared" si="54"/>
        <v>19.934999999999945</v>
      </c>
      <c r="G72" s="6">
        <f t="shared" si="39"/>
        <v>0.32999999999992724</v>
      </c>
      <c r="H72" s="12">
        <f t="shared" si="55"/>
        <v>-6.500000000005457E-2</v>
      </c>
      <c r="J72" s="20">
        <f t="shared" si="0"/>
        <v>4.9999999998817657E-3</v>
      </c>
      <c r="K72" s="2"/>
      <c r="L72">
        <f t="shared" si="56"/>
        <v>64</v>
      </c>
      <c r="M72">
        <v>20</v>
      </c>
      <c r="N72">
        <f t="shared" si="57"/>
        <v>1280</v>
      </c>
      <c r="O72" s="19">
        <v>1280.33</v>
      </c>
      <c r="P72" s="23">
        <f t="shared" si="58"/>
        <v>19.939999999999827</v>
      </c>
      <c r="Q72" s="6">
        <f t="shared" si="40"/>
        <v>0.32999999999992724</v>
      </c>
      <c r="R72" s="27">
        <f t="shared" si="59"/>
        <v>-6.0000000000172804E-2</v>
      </c>
      <c r="S72" s="27"/>
      <c r="T72" s="20">
        <f t="shared" si="1"/>
        <v>1.0000000000218279E-2</v>
      </c>
      <c r="U72" s="2"/>
      <c r="V72">
        <f t="shared" si="60"/>
        <v>64</v>
      </c>
      <c r="W72">
        <v>20</v>
      </c>
      <c r="X72">
        <f t="shared" si="61"/>
        <v>1280</v>
      </c>
      <c r="Y72" s="19">
        <v>1280.335</v>
      </c>
      <c r="Z72" s="23">
        <f t="shared" si="62"/>
        <v>19.950000000000045</v>
      </c>
      <c r="AA72" s="6">
        <f t="shared" si="41"/>
        <v>0.33500000000003638</v>
      </c>
      <c r="AB72" s="27">
        <f t="shared" si="63"/>
        <v>-4.9999999999954525E-2</v>
      </c>
      <c r="AC72" s="27"/>
      <c r="AD72" s="20">
        <f t="shared" si="2"/>
        <v>4.9999999998817657E-3</v>
      </c>
      <c r="AE72" s="2"/>
      <c r="AF72">
        <f t="shared" si="64"/>
        <v>64</v>
      </c>
      <c r="AG72">
        <v>20</v>
      </c>
      <c r="AH72">
        <f t="shared" si="65"/>
        <v>1280</v>
      </c>
      <c r="AI72" s="19">
        <v>1280.3399999999999</v>
      </c>
      <c r="AJ72" s="23">
        <f t="shared" si="66"/>
        <v>19.954999999999927</v>
      </c>
      <c r="AK72" s="6">
        <f t="shared" si="42"/>
        <v>0.33999999999991815</v>
      </c>
      <c r="AL72" s="27">
        <f t="shared" si="67"/>
        <v>-4.500000000007276E-2</v>
      </c>
      <c r="AM72" s="27"/>
      <c r="AN72" s="20">
        <f t="shared" si="3"/>
        <v>2.2737367544323206E-13</v>
      </c>
      <c r="AO72" s="2"/>
      <c r="AP72">
        <f t="shared" si="68"/>
        <v>64</v>
      </c>
      <c r="AQ72">
        <v>20</v>
      </c>
      <c r="AR72">
        <f t="shared" si="69"/>
        <v>1280</v>
      </c>
      <c r="AS72" s="19">
        <v>1280.325</v>
      </c>
      <c r="AT72" s="23">
        <f t="shared" si="70"/>
        <v>19.955000000000155</v>
      </c>
      <c r="AU72" s="6">
        <f t="shared" si="43"/>
        <v>0.32500000000004547</v>
      </c>
      <c r="AV72" s="27">
        <f t="shared" si="71"/>
        <v>-4.4999999999845386E-2</v>
      </c>
      <c r="AW72" s="27"/>
      <c r="AX72" s="27"/>
      <c r="AY72" s="2">
        <f t="shared" si="44"/>
        <v>1280.3319999999999</v>
      </c>
      <c r="AZ72" s="23">
        <f t="shared" si="45"/>
        <v>19.946999999999981</v>
      </c>
      <c r="BA72" s="6">
        <f t="shared" si="46"/>
        <v>0.33199999999997087</v>
      </c>
      <c r="BB72" s="27">
        <f t="shared" si="47"/>
        <v>-5.300000000002001E-2</v>
      </c>
      <c r="BC72" s="27"/>
      <c r="BD72" s="36"/>
      <c r="BF72">
        <f t="shared" si="4"/>
        <v>13</v>
      </c>
      <c r="BG72">
        <f t="shared" si="5"/>
        <v>-20</v>
      </c>
      <c r="BH72">
        <f t="shared" si="6"/>
        <v>1260</v>
      </c>
      <c r="BI72" s="19">
        <v>-259.43</v>
      </c>
      <c r="BJ72" s="2">
        <f t="shared" si="7"/>
        <v>1260.5700000000002</v>
      </c>
      <c r="BK72" s="23">
        <f t="shared" si="8"/>
        <v>-19.950000000000017</v>
      </c>
      <c r="BL72" s="6">
        <f t="shared" si="9"/>
        <v>-0.57000000000016371</v>
      </c>
      <c r="BM72" s="12">
        <f t="shared" si="10"/>
        <v>-4.9999999999982947E-2</v>
      </c>
      <c r="BO72" s="20">
        <f t="shared" si="48"/>
        <v>3.0000000000029559E-2</v>
      </c>
      <c r="BQ72">
        <f t="shared" si="11"/>
        <v>13</v>
      </c>
      <c r="BR72">
        <f t="shared" si="12"/>
        <v>-20</v>
      </c>
      <c r="BS72">
        <f t="shared" si="13"/>
        <v>1260</v>
      </c>
      <c r="BT72" s="19">
        <v>-259.45499999999998</v>
      </c>
      <c r="BU72" s="2">
        <f t="shared" si="14"/>
        <v>1260.5449999999996</v>
      </c>
      <c r="BV72" s="23">
        <f t="shared" si="72"/>
        <v>-19.919999999999987</v>
      </c>
      <c r="BW72" s="6">
        <f t="shared" si="16"/>
        <v>-0.54499999999961801</v>
      </c>
      <c r="BX72" s="12">
        <f t="shared" si="17"/>
        <v>-8.0000000000012506E-2</v>
      </c>
      <c r="BY72" s="12"/>
      <c r="BZ72" s="20">
        <f t="shared" si="49"/>
        <v>4.9999999999954525E-3</v>
      </c>
      <c r="CB72">
        <f t="shared" si="18"/>
        <v>13</v>
      </c>
      <c r="CC72">
        <f t="shared" si="19"/>
        <v>-20</v>
      </c>
      <c r="CD72">
        <f t="shared" si="20"/>
        <v>1260</v>
      </c>
      <c r="CE72" s="19">
        <v>-259.45499999999998</v>
      </c>
      <c r="CF72" s="2">
        <f t="shared" si="21"/>
        <v>1260.5450000000001</v>
      </c>
      <c r="CG72" s="23">
        <f t="shared" si="73"/>
        <v>-19.914999999999992</v>
      </c>
      <c r="CH72" s="6">
        <f t="shared" si="23"/>
        <v>-0.54500000000007276</v>
      </c>
      <c r="CI72" s="12">
        <f t="shared" si="24"/>
        <v>-8.5000000000007958E-2</v>
      </c>
      <c r="CK72" s="20">
        <f t="shared" si="50"/>
        <v>-3.9999999999992042E-2</v>
      </c>
      <c r="CM72">
        <f t="shared" si="25"/>
        <v>13</v>
      </c>
      <c r="CN72">
        <f t="shared" si="26"/>
        <v>-20</v>
      </c>
      <c r="CO72">
        <f t="shared" si="27"/>
        <v>1260</v>
      </c>
      <c r="CP72" s="19">
        <v>-259.45</v>
      </c>
      <c r="CQ72" s="2">
        <f t="shared" si="28"/>
        <v>1260.5500000000002</v>
      </c>
      <c r="CR72" s="23">
        <f t="shared" si="74"/>
        <v>-19.954999999999984</v>
      </c>
      <c r="CS72" s="6">
        <f t="shared" si="30"/>
        <v>-0.5500000000001819</v>
      </c>
      <c r="CT72" s="12">
        <f t="shared" si="31"/>
        <v>-4.5000000000015916E-2</v>
      </c>
      <c r="CV72" s="20">
        <f t="shared" si="51"/>
        <v>-7.0000000000050022E-2</v>
      </c>
      <c r="CX72">
        <f t="shared" si="32"/>
        <v>13</v>
      </c>
      <c r="CY72">
        <f t="shared" si="33"/>
        <v>-20</v>
      </c>
      <c r="CZ72">
        <f t="shared" si="34"/>
        <v>1260</v>
      </c>
      <c r="DA72" s="19">
        <v>-259.54000000000002</v>
      </c>
      <c r="DB72" s="2">
        <f t="shared" si="35"/>
        <v>1260.4599999999996</v>
      </c>
      <c r="DC72" s="23">
        <f t="shared" si="75"/>
        <v>-20.025000000000034</v>
      </c>
      <c r="DD72" s="6">
        <f t="shared" si="37"/>
        <v>-0.45999999999958163</v>
      </c>
      <c r="DE72" s="12">
        <f t="shared" si="38"/>
        <v>2.5000000000034106E-2</v>
      </c>
      <c r="DM72" s="2"/>
      <c r="DN72" s="2"/>
      <c r="DO72" s="6"/>
      <c r="DP72" s="2"/>
      <c r="DQ72" s="10"/>
    </row>
    <row r="73" spans="2:121" x14ac:dyDescent="0.45">
      <c r="B73">
        <f t="shared" si="52"/>
        <v>65</v>
      </c>
      <c r="C73">
        <v>20</v>
      </c>
      <c r="D73">
        <f t="shared" si="53"/>
        <v>1300</v>
      </c>
      <c r="E73" s="19">
        <v>1300.2049999999999</v>
      </c>
      <c r="F73" s="23">
        <f t="shared" si="54"/>
        <v>19.875</v>
      </c>
      <c r="G73" s="6">
        <f t="shared" si="39"/>
        <v>0.20499999999992724</v>
      </c>
      <c r="H73" s="12">
        <f t="shared" si="55"/>
        <v>-0.125</v>
      </c>
      <c r="J73" s="20">
        <f t="shared" ref="J73:J84" si="76">R73-H73</f>
        <v>0</v>
      </c>
      <c r="K73" s="2"/>
      <c r="L73">
        <f t="shared" si="56"/>
        <v>65</v>
      </c>
      <c r="M73">
        <v>20</v>
      </c>
      <c r="N73">
        <f t="shared" si="57"/>
        <v>1300</v>
      </c>
      <c r="O73" s="19">
        <v>1300.2049999999999</v>
      </c>
      <c r="P73" s="23">
        <f t="shared" si="58"/>
        <v>19.875</v>
      </c>
      <c r="Q73" s="6">
        <f t="shared" si="40"/>
        <v>0.20499999999992724</v>
      </c>
      <c r="R73" s="27">
        <f t="shared" si="59"/>
        <v>-0.125</v>
      </c>
      <c r="S73" s="27"/>
      <c r="T73" s="20">
        <f t="shared" ref="T73:T84" si="77">AB73-R73</f>
        <v>-1.5000000000100044E-2</v>
      </c>
      <c r="U73" s="2"/>
      <c r="V73">
        <f t="shared" si="60"/>
        <v>65</v>
      </c>
      <c r="W73">
        <v>20</v>
      </c>
      <c r="X73">
        <f t="shared" si="61"/>
        <v>1300</v>
      </c>
      <c r="Y73" s="19">
        <v>1300.1949999999999</v>
      </c>
      <c r="Z73" s="23">
        <f t="shared" si="62"/>
        <v>19.8599999999999</v>
      </c>
      <c r="AA73" s="6">
        <f t="shared" si="41"/>
        <v>0.19499999999993634</v>
      </c>
      <c r="AB73" s="27">
        <f t="shared" si="63"/>
        <v>-0.14000000000010004</v>
      </c>
      <c r="AC73" s="27"/>
      <c r="AD73" s="20">
        <f t="shared" ref="AD73:AD84" si="78">AL73-AB73</f>
        <v>2.2737367544323206E-13</v>
      </c>
      <c r="AE73" s="2"/>
      <c r="AF73">
        <f t="shared" si="64"/>
        <v>65</v>
      </c>
      <c r="AG73">
        <v>20</v>
      </c>
      <c r="AH73">
        <f t="shared" si="65"/>
        <v>1300</v>
      </c>
      <c r="AI73" s="19">
        <v>1300.2</v>
      </c>
      <c r="AJ73" s="23">
        <f t="shared" si="66"/>
        <v>19.860000000000127</v>
      </c>
      <c r="AK73" s="6">
        <f t="shared" si="42"/>
        <v>0.20000000000004547</v>
      </c>
      <c r="AL73" s="27">
        <f t="shared" si="67"/>
        <v>-0.13999999999987267</v>
      </c>
      <c r="AM73" s="27"/>
      <c r="AN73" s="20">
        <f t="shared" ref="AN73:AN84" si="79">AV73-AL73</f>
        <v>-2.2737367544323206E-13</v>
      </c>
      <c r="AO73" s="2"/>
      <c r="AP73">
        <f t="shared" si="68"/>
        <v>65</v>
      </c>
      <c r="AQ73">
        <v>20</v>
      </c>
      <c r="AR73">
        <f t="shared" si="69"/>
        <v>1300</v>
      </c>
      <c r="AS73" s="19">
        <v>1300.1849999999999</v>
      </c>
      <c r="AT73" s="23">
        <f t="shared" si="70"/>
        <v>19.8599999999999</v>
      </c>
      <c r="AU73" s="6">
        <f t="shared" si="43"/>
        <v>0.18499999999994543</v>
      </c>
      <c r="AV73" s="27">
        <f t="shared" si="71"/>
        <v>-0.14000000000010004</v>
      </c>
      <c r="AW73" s="27"/>
      <c r="AX73" s="27"/>
      <c r="AY73" s="2">
        <f t="shared" si="44"/>
        <v>1300.1979999999999</v>
      </c>
      <c r="AZ73" s="23">
        <f t="shared" si="45"/>
        <v>19.865999999999985</v>
      </c>
      <c r="BA73" s="6">
        <f t="shared" si="46"/>
        <v>0.19799999999995635</v>
      </c>
      <c r="BB73" s="27">
        <f t="shared" si="47"/>
        <v>-0.13400000000001455</v>
      </c>
      <c r="BC73" s="27"/>
      <c r="BD73" s="36"/>
      <c r="BF73">
        <f t="shared" ref="BF73:BF82" si="80">BF74+1</f>
        <v>12</v>
      </c>
      <c r="BG73">
        <f t="shared" ref="BG73:BG80" si="81">BG74</f>
        <v>-20</v>
      </c>
      <c r="BH73">
        <f t="shared" ref="BH73:BH82" si="82">BH74+BG73</f>
        <v>1280</v>
      </c>
      <c r="BI73" s="19">
        <v>-239.48</v>
      </c>
      <c r="BJ73" s="2">
        <f t="shared" ref="BJ73:BJ82" si="83">BJ74+BK73</f>
        <v>1280.5200000000002</v>
      </c>
      <c r="BK73" s="23">
        <f t="shared" ref="BK73:BK82" si="84">BI73-BI74</f>
        <v>-19.85499999999999</v>
      </c>
      <c r="BL73" s="6">
        <f t="shared" ref="BL73:BL83" si="85">BH73-BJ73</f>
        <v>-0.52000000000020918</v>
      </c>
      <c r="BM73" s="12">
        <f t="shared" ref="BM73:BM83" si="86">BG73-BK73</f>
        <v>-0.14500000000001023</v>
      </c>
      <c r="BO73" s="20">
        <f t="shared" si="48"/>
        <v>-3.0000000000001137E-2</v>
      </c>
      <c r="BQ73">
        <f t="shared" ref="BQ73:BQ82" si="87">BQ74+1</f>
        <v>12</v>
      </c>
      <c r="BR73">
        <f t="shared" ref="BR73:BR80" si="88">BR74</f>
        <v>-20</v>
      </c>
      <c r="BS73">
        <f t="shared" ref="BS73:BS82" si="89">BS74+BR73</f>
        <v>1280</v>
      </c>
      <c r="BT73" s="19">
        <v>-239.535</v>
      </c>
      <c r="BU73" s="2">
        <f t="shared" ref="BU73:BU82" si="90">BU74+BV73</f>
        <v>1280.4649999999997</v>
      </c>
      <c r="BV73" s="23">
        <f t="shared" si="72"/>
        <v>-19.884999999999991</v>
      </c>
      <c r="BW73" s="6">
        <f t="shared" ref="BW73:BW83" si="91">BS73-BU73</f>
        <v>-0.46499999999969077</v>
      </c>
      <c r="BX73" s="12">
        <f t="shared" ref="BX73:BX83" si="92">BR73-BV73</f>
        <v>-0.11500000000000909</v>
      </c>
      <c r="BY73" s="12"/>
      <c r="BZ73" s="20">
        <f t="shared" si="49"/>
        <v>4.9999999999954525E-3</v>
      </c>
      <c r="CB73">
        <f t="shared" ref="CB73:CB82" si="93">CB74+1</f>
        <v>12</v>
      </c>
      <c r="CC73">
        <f t="shared" ref="CC73:CC80" si="94">CC74</f>
        <v>-20</v>
      </c>
      <c r="CD73">
        <f t="shared" ref="CD73:CD82" si="95">CD74+CC73</f>
        <v>1280</v>
      </c>
      <c r="CE73" s="19">
        <v>-239.54</v>
      </c>
      <c r="CF73" s="2">
        <f t="shared" ref="CF73:CF82" si="96">CF74+CG73</f>
        <v>1280.46</v>
      </c>
      <c r="CG73" s="23">
        <f t="shared" si="73"/>
        <v>-19.879999999999995</v>
      </c>
      <c r="CH73" s="6">
        <f t="shared" ref="CH73:CH83" si="97">CD73-CF73</f>
        <v>-0.46000000000003638</v>
      </c>
      <c r="CI73" s="12">
        <f t="shared" ref="CI73:CI83" si="98">CC73-CG73</f>
        <v>-0.12000000000000455</v>
      </c>
      <c r="CK73" s="20">
        <f t="shared" si="50"/>
        <v>1.4999999999986358E-2</v>
      </c>
      <c r="CM73">
        <f t="shared" ref="CM73:CM82" si="99">CM74+1</f>
        <v>12</v>
      </c>
      <c r="CN73">
        <f t="shared" ref="CN73:CN80" si="100">CN74</f>
        <v>-20</v>
      </c>
      <c r="CO73">
        <f t="shared" ref="CO73:CO82" si="101">CO74+CN73</f>
        <v>1280</v>
      </c>
      <c r="CP73" s="19">
        <v>-239.495</v>
      </c>
      <c r="CQ73" s="2">
        <f t="shared" ref="CQ73:CQ82" si="102">CQ74+CR73</f>
        <v>1280.5050000000001</v>
      </c>
      <c r="CR73" s="23">
        <f t="shared" si="74"/>
        <v>-19.865000000000009</v>
      </c>
      <c r="CS73" s="6">
        <f t="shared" ref="CS73:CS83" si="103">CO73-CQ73</f>
        <v>-0.50500000000010914</v>
      </c>
      <c r="CT73" s="12">
        <f t="shared" ref="CT73:CT83" si="104">CN73-CR73</f>
        <v>-0.13499999999999091</v>
      </c>
      <c r="CV73" s="20">
        <f t="shared" si="51"/>
        <v>2.0000000000010232E-2</v>
      </c>
      <c r="CX73">
        <f t="shared" ref="CX73:CX82" si="105">CX74+1</f>
        <v>12</v>
      </c>
      <c r="CY73">
        <f t="shared" ref="CY73:CY80" si="106">CY74</f>
        <v>-20</v>
      </c>
      <c r="CZ73">
        <f t="shared" ref="CZ73:CZ82" si="107">CZ74+CY73</f>
        <v>1280</v>
      </c>
      <c r="DA73" s="19">
        <v>-239.51499999999999</v>
      </c>
      <c r="DB73" s="2">
        <f t="shared" ref="DB73:DB82" si="108">DB74+DC73</f>
        <v>1280.4849999999997</v>
      </c>
      <c r="DC73" s="23">
        <f t="shared" si="75"/>
        <v>-19.844999999999999</v>
      </c>
      <c r="DD73" s="6">
        <f t="shared" ref="DD73:DD83" si="109">CZ73-DB73</f>
        <v>-0.48499999999967258</v>
      </c>
      <c r="DE73" s="12">
        <f t="shared" ref="DE73:DE83" si="110">CY73-DC73</f>
        <v>-0.15500000000000114</v>
      </c>
      <c r="DM73" s="2"/>
      <c r="DN73" s="2"/>
      <c r="DO73" s="6"/>
      <c r="DP73" s="2"/>
      <c r="DQ73" s="10"/>
    </row>
    <row r="74" spans="2:121" x14ac:dyDescent="0.45">
      <c r="B74">
        <f t="shared" si="52"/>
        <v>66</v>
      </c>
      <c r="C74">
        <v>20</v>
      </c>
      <c r="D74">
        <f t="shared" si="53"/>
        <v>1320</v>
      </c>
      <c r="E74" s="19">
        <v>1320.1849999999999</v>
      </c>
      <c r="F74" s="23">
        <f t="shared" si="54"/>
        <v>19.980000000000018</v>
      </c>
      <c r="G74" s="6">
        <f t="shared" ref="G74:G84" si="111">E74-D74</f>
        <v>0.18499999999994543</v>
      </c>
      <c r="H74" s="12">
        <f t="shared" si="55"/>
        <v>-1.999999999998181E-2</v>
      </c>
      <c r="J74" s="20">
        <f t="shared" si="76"/>
        <v>0</v>
      </c>
      <c r="K74" s="2"/>
      <c r="L74">
        <f t="shared" si="56"/>
        <v>66</v>
      </c>
      <c r="M74">
        <v>20</v>
      </c>
      <c r="N74">
        <f t="shared" si="57"/>
        <v>1320</v>
      </c>
      <c r="O74" s="19">
        <v>1320.1849999999999</v>
      </c>
      <c r="P74" s="23">
        <f t="shared" si="58"/>
        <v>19.980000000000018</v>
      </c>
      <c r="Q74" s="6">
        <f t="shared" ref="Q74:Q84" si="112">O74-N74</f>
        <v>0.18499999999994543</v>
      </c>
      <c r="R74" s="27">
        <f t="shared" si="59"/>
        <v>-1.999999999998181E-2</v>
      </c>
      <c r="S74" s="27"/>
      <c r="T74" s="20">
        <f t="shared" si="77"/>
        <v>5.0000000001091394E-3</v>
      </c>
      <c r="U74" s="2"/>
      <c r="V74">
        <f t="shared" si="60"/>
        <v>66</v>
      </c>
      <c r="W74">
        <v>20</v>
      </c>
      <c r="X74">
        <f t="shared" si="61"/>
        <v>1320</v>
      </c>
      <c r="Y74" s="19">
        <v>1320.18</v>
      </c>
      <c r="Z74" s="23">
        <f t="shared" si="62"/>
        <v>19.985000000000127</v>
      </c>
      <c r="AA74" s="6">
        <f t="shared" ref="AA74:AA84" si="113">Y74-X74</f>
        <v>0.18000000000006366</v>
      </c>
      <c r="AB74" s="27">
        <f t="shared" si="63"/>
        <v>-1.4999999999872671E-2</v>
      </c>
      <c r="AC74" s="27"/>
      <c r="AD74" s="20">
        <f t="shared" si="78"/>
        <v>-1.0000000000218279E-2</v>
      </c>
      <c r="AE74" s="2"/>
      <c r="AF74">
        <f t="shared" si="64"/>
        <v>66</v>
      </c>
      <c r="AG74">
        <v>20</v>
      </c>
      <c r="AH74">
        <f t="shared" si="65"/>
        <v>1320</v>
      </c>
      <c r="AI74" s="19">
        <v>1320.175</v>
      </c>
      <c r="AJ74" s="23">
        <f t="shared" si="66"/>
        <v>19.974999999999909</v>
      </c>
      <c r="AK74" s="6">
        <f t="shared" ref="AK74:AK84" si="114">AI74-AH74</f>
        <v>0.17499999999995453</v>
      </c>
      <c r="AL74" s="27">
        <f t="shared" si="67"/>
        <v>-2.5000000000090949E-2</v>
      </c>
      <c r="AM74" s="27"/>
      <c r="AN74" s="20">
        <f t="shared" si="79"/>
        <v>2.2737367544323206E-13</v>
      </c>
      <c r="AO74" s="2"/>
      <c r="AP74">
        <f t="shared" si="68"/>
        <v>66</v>
      </c>
      <c r="AQ74">
        <v>20</v>
      </c>
      <c r="AR74">
        <f t="shared" si="69"/>
        <v>1320</v>
      </c>
      <c r="AS74" s="19">
        <v>1320.16</v>
      </c>
      <c r="AT74" s="23">
        <f t="shared" si="70"/>
        <v>19.975000000000136</v>
      </c>
      <c r="AU74" s="6">
        <f t="shared" ref="AU74:AU84" si="115">AS74-AR74</f>
        <v>0.16000000000008185</v>
      </c>
      <c r="AV74" s="27">
        <f t="shared" si="71"/>
        <v>-2.4999999999863576E-2</v>
      </c>
      <c r="AW74" s="27"/>
      <c r="AX74" s="27"/>
      <c r="AY74" s="2">
        <f t="shared" ref="AY74:AY84" si="116">(E74+O74+Y74+AI74+AS74)/5</f>
        <v>1320.1770000000001</v>
      </c>
      <c r="AZ74" s="23">
        <f t="shared" ref="AZ74:AZ84" si="117">(F74+P74+Z74+AJ74+AT74)/5</f>
        <v>19.979000000000042</v>
      </c>
      <c r="BA74" s="6">
        <f t="shared" ref="BA74:BA84" si="118">(G74+Q74+AA74+AK74+AU74)/5</f>
        <v>0.17699999999999819</v>
      </c>
      <c r="BB74" s="27">
        <f t="shared" ref="BB74:BB84" si="119">(H74+R74+AB74+AL74+AV74)/5</f>
        <v>-2.0999999999958163E-2</v>
      </c>
      <c r="BC74" s="27"/>
      <c r="BD74" s="36"/>
      <c r="BF74">
        <f t="shared" si="80"/>
        <v>11</v>
      </c>
      <c r="BG74">
        <f t="shared" si="81"/>
        <v>-20</v>
      </c>
      <c r="BH74">
        <f t="shared" si="82"/>
        <v>1300</v>
      </c>
      <c r="BI74" s="19">
        <v>-219.625</v>
      </c>
      <c r="BJ74" s="2">
        <f t="shared" si="83"/>
        <v>1300.3750000000002</v>
      </c>
      <c r="BK74" s="23">
        <f t="shared" si="84"/>
        <v>-19.955000000000013</v>
      </c>
      <c r="BL74" s="6">
        <f t="shared" si="85"/>
        <v>-0.37500000000022737</v>
      </c>
      <c r="BM74" s="12">
        <f t="shared" si="86"/>
        <v>-4.4999999999987494E-2</v>
      </c>
      <c r="BO74" s="20">
        <f t="shared" ref="BO74:BO84" si="120">BV74-BK74</f>
        <v>3.0000000000001137E-2</v>
      </c>
      <c r="BQ74">
        <f t="shared" si="87"/>
        <v>11</v>
      </c>
      <c r="BR74">
        <f t="shared" si="88"/>
        <v>-20</v>
      </c>
      <c r="BS74">
        <f t="shared" si="89"/>
        <v>1300</v>
      </c>
      <c r="BT74" s="19">
        <v>-219.65</v>
      </c>
      <c r="BU74" s="2">
        <f t="shared" si="90"/>
        <v>1300.3499999999997</v>
      </c>
      <c r="BV74" s="23">
        <f t="shared" si="72"/>
        <v>-19.925000000000011</v>
      </c>
      <c r="BW74" s="6">
        <f t="shared" si="91"/>
        <v>-0.34999999999968168</v>
      </c>
      <c r="BX74" s="12">
        <f t="shared" si="92"/>
        <v>-7.4999999999988631E-2</v>
      </c>
      <c r="BY74" s="12"/>
      <c r="BZ74" s="20">
        <f t="shared" ref="BZ74:BZ84" si="121">CG74-BV74</f>
        <v>-4.9999999999954525E-3</v>
      </c>
      <c r="CB74">
        <f t="shared" si="93"/>
        <v>11</v>
      </c>
      <c r="CC74">
        <f t="shared" si="94"/>
        <v>-20</v>
      </c>
      <c r="CD74">
        <f t="shared" si="95"/>
        <v>1300</v>
      </c>
      <c r="CE74" s="19">
        <v>-219.66</v>
      </c>
      <c r="CF74" s="2">
        <f t="shared" si="96"/>
        <v>1300.3400000000001</v>
      </c>
      <c r="CG74" s="23">
        <f t="shared" si="73"/>
        <v>-19.930000000000007</v>
      </c>
      <c r="CH74" s="6">
        <f t="shared" si="97"/>
        <v>-0.34000000000014552</v>
      </c>
      <c r="CI74" s="12">
        <f t="shared" si="98"/>
        <v>-6.9999999999993179E-2</v>
      </c>
      <c r="CK74" s="20">
        <f t="shared" ref="CK74:CK84" si="122">CR74-CG74</f>
        <v>-4.9999999999954525E-3</v>
      </c>
      <c r="CM74">
        <f t="shared" si="99"/>
        <v>11</v>
      </c>
      <c r="CN74">
        <f t="shared" si="100"/>
        <v>-20</v>
      </c>
      <c r="CO74">
        <f t="shared" si="101"/>
        <v>1300</v>
      </c>
      <c r="CP74" s="19">
        <v>-219.63</v>
      </c>
      <c r="CQ74" s="2">
        <f t="shared" si="102"/>
        <v>1300.3700000000001</v>
      </c>
      <c r="CR74" s="23">
        <f t="shared" si="74"/>
        <v>-19.935000000000002</v>
      </c>
      <c r="CS74" s="6">
        <f t="shared" si="103"/>
        <v>-0.37000000000011823</v>
      </c>
      <c r="CT74" s="12">
        <f t="shared" si="104"/>
        <v>-6.4999999999997726E-2</v>
      </c>
      <c r="CV74" s="20">
        <f t="shared" ref="CV74:CV84" si="123">DC74-CR74</f>
        <v>-2.9999999999972715E-2</v>
      </c>
      <c r="CX74">
        <f t="shared" si="105"/>
        <v>11</v>
      </c>
      <c r="CY74">
        <f t="shared" si="106"/>
        <v>-20</v>
      </c>
      <c r="CZ74">
        <f t="shared" si="107"/>
        <v>1300</v>
      </c>
      <c r="DA74" s="19">
        <v>-219.67</v>
      </c>
      <c r="DB74" s="2">
        <f t="shared" si="108"/>
        <v>1300.3299999999997</v>
      </c>
      <c r="DC74" s="23">
        <f t="shared" si="75"/>
        <v>-19.964999999999975</v>
      </c>
      <c r="DD74" s="6">
        <f t="shared" si="109"/>
        <v>-0.32999999999969987</v>
      </c>
      <c r="DE74" s="12">
        <f t="shared" si="110"/>
        <v>-3.5000000000025011E-2</v>
      </c>
      <c r="DM74" s="2"/>
      <c r="DN74" s="2"/>
      <c r="DO74" s="6"/>
      <c r="DP74" s="2"/>
      <c r="DQ74" s="10"/>
    </row>
    <row r="75" spans="2:121" x14ac:dyDescent="0.45">
      <c r="B75">
        <f t="shared" ref="B75:B84" si="124">B74+1</f>
        <v>67</v>
      </c>
      <c r="C75">
        <v>20</v>
      </c>
      <c r="D75">
        <f t="shared" ref="D75:D84" si="125">D74+C75</f>
        <v>1340</v>
      </c>
      <c r="E75" s="19">
        <v>1340.155</v>
      </c>
      <c r="F75" s="23">
        <f t="shared" ref="F75:F84" si="126">E75-E74</f>
        <v>19.970000000000027</v>
      </c>
      <c r="G75" s="6">
        <f t="shared" si="111"/>
        <v>0.15499999999997272</v>
      </c>
      <c r="H75" s="12">
        <f t="shared" ref="H75:H84" si="127">(E75-E74)-C75</f>
        <v>-2.9999999999972715E-2</v>
      </c>
      <c r="J75" s="20">
        <f t="shared" si="76"/>
        <v>5.0000000001091394E-3</v>
      </c>
      <c r="K75" s="2"/>
      <c r="L75">
        <f t="shared" ref="L75:L84" si="128">L74+1</f>
        <v>67</v>
      </c>
      <c r="M75">
        <v>20</v>
      </c>
      <c r="N75">
        <f t="shared" ref="N75:N84" si="129">N74+M75</f>
        <v>1340</v>
      </c>
      <c r="O75" s="19">
        <v>1340.16</v>
      </c>
      <c r="P75" s="23">
        <f t="shared" ref="P75:P84" si="130">O75-O74</f>
        <v>19.975000000000136</v>
      </c>
      <c r="Q75" s="6">
        <f t="shared" si="112"/>
        <v>0.16000000000008185</v>
      </c>
      <c r="R75" s="27">
        <f t="shared" ref="R75:R84" si="131">(O75-O74)-M75</f>
        <v>-2.4999999999863576E-2</v>
      </c>
      <c r="S75" s="27"/>
      <c r="T75" s="20">
        <f t="shared" si="77"/>
        <v>-1.0000000000218279E-2</v>
      </c>
      <c r="U75" s="2"/>
      <c r="V75">
        <f t="shared" ref="V75:V84" si="132">V74+1</f>
        <v>67</v>
      </c>
      <c r="W75">
        <v>20</v>
      </c>
      <c r="X75">
        <f t="shared" ref="X75:X84" si="133">X74+W75</f>
        <v>1340</v>
      </c>
      <c r="Y75" s="19">
        <v>1340.145</v>
      </c>
      <c r="Z75" s="23">
        <f t="shared" ref="Z75:Z84" si="134">Y75-Y74</f>
        <v>19.964999999999918</v>
      </c>
      <c r="AA75" s="6">
        <f t="shared" si="113"/>
        <v>0.14499999999998181</v>
      </c>
      <c r="AB75" s="27">
        <f t="shared" ref="AB75:AB84" si="135">(Y75-Y74)-W75</f>
        <v>-3.5000000000081855E-2</v>
      </c>
      <c r="AC75" s="27"/>
      <c r="AD75" s="20">
        <f t="shared" si="78"/>
        <v>1.0000000000218279E-2</v>
      </c>
      <c r="AE75" s="2"/>
      <c r="AF75">
        <f t="shared" ref="AF75:AF84" si="136">AF74+1</f>
        <v>67</v>
      </c>
      <c r="AG75">
        <v>20</v>
      </c>
      <c r="AH75">
        <f t="shared" ref="AH75:AH84" si="137">AH74+AG75</f>
        <v>1340</v>
      </c>
      <c r="AI75" s="19">
        <v>1340.15</v>
      </c>
      <c r="AJ75" s="23">
        <f t="shared" ref="AJ75:AJ84" si="138">AI75-AI74</f>
        <v>19.975000000000136</v>
      </c>
      <c r="AK75" s="6">
        <f t="shared" si="114"/>
        <v>0.15000000000009095</v>
      </c>
      <c r="AL75" s="27">
        <f t="shared" ref="AL75:AL84" si="139">(AI75-AI74)-AG75</f>
        <v>-2.4999999999863576E-2</v>
      </c>
      <c r="AM75" s="27"/>
      <c r="AN75" s="20">
        <f t="shared" si="79"/>
        <v>-5.0000000001091394E-3</v>
      </c>
      <c r="AO75" s="2"/>
      <c r="AP75">
        <f t="shared" ref="AP75:AP84" si="140">AP74+1</f>
        <v>67</v>
      </c>
      <c r="AQ75">
        <v>20</v>
      </c>
      <c r="AR75">
        <f t="shared" ref="AR75:AR84" si="141">AR74+AQ75</f>
        <v>1340</v>
      </c>
      <c r="AS75" s="19">
        <v>1340.13</v>
      </c>
      <c r="AT75" s="23">
        <f t="shared" ref="AT75:AT84" si="142">AS75-AS74</f>
        <v>19.970000000000027</v>
      </c>
      <c r="AU75" s="6">
        <f t="shared" si="115"/>
        <v>0.13000000000010914</v>
      </c>
      <c r="AV75" s="27">
        <f t="shared" ref="AV75:AV84" si="143">(AS75-AS74)-AQ75</f>
        <v>-2.9999999999972715E-2</v>
      </c>
      <c r="AW75" s="27"/>
      <c r="AX75" s="27"/>
      <c r="AY75" s="2">
        <f t="shared" si="116"/>
        <v>1340.1480000000001</v>
      </c>
      <c r="AZ75" s="23">
        <f t="shared" si="117"/>
        <v>19.97100000000005</v>
      </c>
      <c r="BA75" s="6">
        <f t="shared" si="118"/>
        <v>0.14800000000004729</v>
      </c>
      <c r="BB75" s="27">
        <f t="shared" si="119"/>
        <v>-2.8999999999950888E-2</v>
      </c>
      <c r="BC75" s="27"/>
      <c r="BD75" s="36"/>
      <c r="BF75">
        <f t="shared" si="80"/>
        <v>10</v>
      </c>
      <c r="BG75">
        <f t="shared" si="81"/>
        <v>-20</v>
      </c>
      <c r="BH75">
        <f t="shared" si="82"/>
        <v>1320</v>
      </c>
      <c r="BI75" s="19">
        <v>-199.67</v>
      </c>
      <c r="BJ75" s="2">
        <f t="shared" si="83"/>
        <v>1320.3300000000002</v>
      </c>
      <c r="BK75" s="23">
        <f t="shared" si="84"/>
        <v>-19.934999999999974</v>
      </c>
      <c r="BL75" s="6">
        <f t="shared" si="85"/>
        <v>-0.33000000000015461</v>
      </c>
      <c r="BM75" s="12">
        <f t="shared" si="86"/>
        <v>-6.5000000000026148E-2</v>
      </c>
      <c r="BO75" s="20">
        <f t="shared" si="120"/>
        <v>-7.00000000000216E-2</v>
      </c>
      <c r="BQ75">
        <f t="shared" si="87"/>
        <v>10</v>
      </c>
      <c r="BR75">
        <f t="shared" si="88"/>
        <v>-20</v>
      </c>
      <c r="BS75">
        <f t="shared" si="89"/>
        <v>1320</v>
      </c>
      <c r="BT75" s="19">
        <v>-199.72499999999999</v>
      </c>
      <c r="BU75" s="2">
        <f t="shared" si="90"/>
        <v>1320.2749999999996</v>
      </c>
      <c r="BV75" s="23">
        <f t="shared" si="72"/>
        <v>-20.004999999999995</v>
      </c>
      <c r="BW75" s="6">
        <f t="shared" si="91"/>
        <v>-0.2749999999996362</v>
      </c>
      <c r="BX75" s="12">
        <f t="shared" si="92"/>
        <v>4.9999999999954525E-3</v>
      </c>
      <c r="BY75" s="12"/>
      <c r="BZ75" s="20">
        <f t="shared" si="121"/>
        <v>-4.9999999999954525E-3</v>
      </c>
      <c r="CB75">
        <f t="shared" si="93"/>
        <v>10</v>
      </c>
      <c r="CC75">
        <f t="shared" si="94"/>
        <v>-20</v>
      </c>
      <c r="CD75">
        <f t="shared" si="95"/>
        <v>1320</v>
      </c>
      <c r="CE75" s="19">
        <v>-199.73</v>
      </c>
      <c r="CF75" s="2">
        <f t="shared" si="96"/>
        <v>1320.2700000000002</v>
      </c>
      <c r="CG75" s="23">
        <f t="shared" si="73"/>
        <v>-20.009999999999991</v>
      </c>
      <c r="CH75" s="6">
        <f t="shared" si="97"/>
        <v>-0.27000000000020918</v>
      </c>
      <c r="CI75" s="12">
        <f t="shared" si="98"/>
        <v>9.9999999999909051E-3</v>
      </c>
      <c r="CK75" s="20">
        <f t="shared" si="122"/>
        <v>2.0000000000010232E-2</v>
      </c>
      <c r="CM75">
        <f t="shared" si="99"/>
        <v>10</v>
      </c>
      <c r="CN75">
        <f t="shared" si="100"/>
        <v>-20</v>
      </c>
      <c r="CO75">
        <f t="shared" si="101"/>
        <v>1320</v>
      </c>
      <c r="CP75" s="19">
        <v>-199.69499999999999</v>
      </c>
      <c r="CQ75" s="2">
        <f t="shared" si="102"/>
        <v>1320.3050000000001</v>
      </c>
      <c r="CR75" s="23">
        <f t="shared" si="74"/>
        <v>-19.989999999999981</v>
      </c>
      <c r="CS75" s="6">
        <f t="shared" si="103"/>
        <v>-0.30500000000006366</v>
      </c>
      <c r="CT75" s="12">
        <f t="shared" si="104"/>
        <v>-1.0000000000019327E-2</v>
      </c>
      <c r="CV75" s="20">
        <f t="shared" si="123"/>
        <v>1.999999999998181E-2</v>
      </c>
      <c r="CX75">
        <f t="shared" si="105"/>
        <v>10</v>
      </c>
      <c r="CY75">
        <f t="shared" si="106"/>
        <v>-20</v>
      </c>
      <c r="CZ75">
        <f t="shared" si="107"/>
        <v>1320</v>
      </c>
      <c r="DA75" s="19">
        <v>-199.70500000000001</v>
      </c>
      <c r="DB75" s="2">
        <f t="shared" si="108"/>
        <v>1320.2949999999996</v>
      </c>
      <c r="DC75" s="23">
        <f t="shared" si="75"/>
        <v>-19.97</v>
      </c>
      <c r="DD75" s="6">
        <f t="shared" si="109"/>
        <v>-0.29499999999961801</v>
      </c>
      <c r="DE75" s="12">
        <f t="shared" si="110"/>
        <v>-3.0000000000001137E-2</v>
      </c>
      <c r="DM75" s="2"/>
      <c r="DN75" s="2"/>
      <c r="DO75" s="6"/>
      <c r="DP75" s="2"/>
      <c r="DQ75" s="10"/>
    </row>
    <row r="76" spans="2:121" x14ac:dyDescent="0.45">
      <c r="B76">
        <f t="shared" si="124"/>
        <v>68</v>
      </c>
      <c r="C76">
        <v>20</v>
      </c>
      <c r="D76">
        <f t="shared" si="125"/>
        <v>1360</v>
      </c>
      <c r="E76" s="19">
        <v>1360.145</v>
      </c>
      <c r="F76" s="23">
        <f t="shared" si="126"/>
        <v>19.990000000000009</v>
      </c>
      <c r="G76" s="6">
        <f t="shared" si="111"/>
        <v>0.14499999999998181</v>
      </c>
      <c r="H76" s="12">
        <f t="shared" si="127"/>
        <v>-9.9999999999909051E-3</v>
      </c>
      <c r="J76" s="20">
        <f t="shared" si="76"/>
        <v>-9.9999999999909051E-3</v>
      </c>
      <c r="K76" s="2"/>
      <c r="L76">
        <f t="shared" si="128"/>
        <v>68</v>
      </c>
      <c r="M76">
        <v>20</v>
      </c>
      <c r="N76">
        <f t="shared" si="129"/>
        <v>1360</v>
      </c>
      <c r="O76" s="19">
        <v>1360.14</v>
      </c>
      <c r="P76" s="23">
        <f t="shared" si="130"/>
        <v>19.980000000000018</v>
      </c>
      <c r="Q76" s="6">
        <f t="shared" si="112"/>
        <v>0.14000000000010004</v>
      </c>
      <c r="R76" s="27">
        <f t="shared" si="131"/>
        <v>-1.999999999998181E-2</v>
      </c>
      <c r="S76" s="27"/>
      <c r="T76" s="20">
        <f t="shared" si="77"/>
        <v>1.5000000000100044E-2</v>
      </c>
      <c r="U76" s="2"/>
      <c r="V76">
        <f t="shared" si="132"/>
        <v>68</v>
      </c>
      <c r="W76">
        <v>20</v>
      </c>
      <c r="X76">
        <f t="shared" si="133"/>
        <v>1360</v>
      </c>
      <c r="Y76" s="19">
        <v>1360.14</v>
      </c>
      <c r="Z76" s="23">
        <f t="shared" si="134"/>
        <v>19.995000000000118</v>
      </c>
      <c r="AA76" s="6">
        <f t="shared" si="113"/>
        <v>0.14000000000010004</v>
      </c>
      <c r="AB76" s="27">
        <f t="shared" si="135"/>
        <v>-4.9999999998817657E-3</v>
      </c>
      <c r="AC76" s="27"/>
      <c r="AD76" s="20">
        <f t="shared" si="78"/>
        <v>-1.5000000000100044E-2</v>
      </c>
      <c r="AE76" s="2"/>
      <c r="AF76">
        <f t="shared" si="136"/>
        <v>68</v>
      </c>
      <c r="AG76">
        <v>20</v>
      </c>
      <c r="AH76">
        <f t="shared" si="137"/>
        <v>1360</v>
      </c>
      <c r="AI76" s="19">
        <v>1360.13</v>
      </c>
      <c r="AJ76" s="23">
        <f t="shared" si="138"/>
        <v>19.980000000000018</v>
      </c>
      <c r="AK76" s="6">
        <f t="shared" si="114"/>
        <v>0.13000000000010914</v>
      </c>
      <c r="AL76" s="27">
        <f t="shared" si="139"/>
        <v>-1.999999999998181E-2</v>
      </c>
      <c r="AM76" s="27"/>
      <c r="AN76" s="20">
        <f t="shared" si="79"/>
        <v>1.4999999999872671E-2</v>
      </c>
      <c r="AO76" s="2"/>
      <c r="AP76">
        <f t="shared" si="140"/>
        <v>68</v>
      </c>
      <c r="AQ76">
        <v>20</v>
      </c>
      <c r="AR76">
        <f t="shared" si="141"/>
        <v>1360</v>
      </c>
      <c r="AS76" s="19">
        <v>1360.125</v>
      </c>
      <c r="AT76" s="23">
        <f t="shared" si="142"/>
        <v>19.994999999999891</v>
      </c>
      <c r="AU76" s="6">
        <f t="shared" si="115"/>
        <v>0.125</v>
      </c>
      <c r="AV76" s="27">
        <f t="shared" si="143"/>
        <v>-5.0000000001091394E-3</v>
      </c>
      <c r="AW76" s="27"/>
      <c r="AX76" s="27"/>
      <c r="AY76" s="2">
        <f t="shared" si="116"/>
        <v>1360.136</v>
      </c>
      <c r="AZ76" s="23">
        <f t="shared" si="117"/>
        <v>19.98800000000001</v>
      </c>
      <c r="BA76" s="6">
        <f t="shared" si="118"/>
        <v>0.13600000000005821</v>
      </c>
      <c r="BB76" s="27">
        <f t="shared" si="119"/>
        <v>-1.1999999999989085E-2</v>
      </c>
      <c r="BC76" s="27"/>
      <c r="BD76" s="36"/>
      <c r="BF76">
        <f t="shared" si="80"/>
        <v>9</v>
      </c>
      <c r="BG76">
        <f t="shared" si="81"/>
        <v>-20</v>
      </c>
      <c r="BH76">
        <f t="shared" si="82"/>
        <v>1340</v>
      </c>
      <c r="BI76" s="19">
        <v>-179.73500000000001</v>
      </c>
      <c r="BJ76" s="2">
        <f t="shared" si="83"/>
        <v>1340.2650000000001</v>
      </c>
      <c r="BK76" s="23">
        <f t="shared" si="84"/>
        <v>-20.085000000000008</v>
      </c>
      <c r="BL76" s="6">
        <f t="shared" si="85"/>
        <v>-0.26500000000010004</v>
      </c>
      <c r="BM76" s="12">
        <f t="shared" si="86"/>
        <v>8.5000000000007958E-2</v>
      </c>
      <c r="BO76" s="20">
        <f t="shared" si="120"/>
        <v>6.0000000000002274E-2</v>
      </c>
      <c r="BQ76">
        <f t="shared" si="87"/>
        <v>9</v>
      </c>
      <c r="BR76">
        <f t="shared" si="88"/>
        <v>-20</v>
      </c>
      <c r="BS76">
        <f t="shared" si="89"/>
        <v>1340</v>
      </c>
      <c r="BT76" s="19">
        <v>-179.72</v>
      </c>
      <c r="BU76" s="2">
        <f t="shared" si="90"/>
        <v>1340.2799999999997</v>
      </c>
      <c r="BV76" s="23">
        <f t="shared" si="72"/>
        <v>-20.025000000000006</v>
      </c>
      <c r="BW76" s="6">
        <f t="shared" si="91"/>
        <v>-0.27999999999974534</v>
      </c>
      <c r="BX76" s="12">
        <f t="shared" si="92"/>
        <v>2.5000000000005684E-2</v>
      </c>
      <c r="BY76" s="12"/>
      <c r="BZ76" s="20">
        <f t="shared" si="121"/>
        <v>1.0000000000019327E-2</v>
      </c>
      <c r="CB76">
        <f t="shared" si="93"/>
        <v>9</v>
      </c>
      <c r="CC76">
        <f t="shared" si="94"/>
        <v>-20</v>
      </c>
      <c r="CD76">
        <f t="shared" si="95"/>
        <v>1340</v>
      </c>
      <c r="CE76" s="19">
        <v>-179.72</v>
      </c>
      <c r="CF76" s="2">
        <f t="shared" si="96"/>
        <v>1340.2800000000002</v>
      </c>
      <c r="CG76" s="23">
        <f t="shared" si="73"/>
        <v>-20.014999999999986</v>
      </c>
      <c r="CH76" s="6">
        <f t="shared" si="97"/>
        <v>-0.28000000000020009</v>
      </c>
      <c r="CI76" s="12">
        <f t="shared" si="98"/>
        <v>1.4999999999986358E-2</v>
      </c>
      <c r="CK76" s="20">
        <f t="shared" si="122"/>
        <v>-5.0000000000238742E-3</v>
      </c>
      <c r="CM76">
        <f t="shared" si="99"/>
        <v>9</v>
      </c>
      <c r="CN76">
        <f t="shared" si="100"/>
        <v>-20</v>
      </c>
      <c r="CO76">
        <f t="shared" si="101"/>
        <v>1340</v>
      </c>
      <c r="CP76" s="19">
        <v>-179.70500000000001</v>
      </c>
      <c r="CQ76" s="2">
        <f t="shared" si="102"/>
        <v>1340.2950000000001</v>
      </c>
      <c r="CR76" s="23">
        <f t="shared" si="74"/>
        <v>-20.02000000000001</v>
      </c>
      <c r="CS76" s="6">
        <f t="shared" si="103"/>
        <v>-0.29500000000007276</v>
      </c>
      <c r="CT76" s="12">
        <f t="shared" si="104"/>
        <v>2.0000000000010232E-2</v>
      </c>
      <c r="CV76" s="20">
        <f t="shared" si="123"/>
        <v>-2.0000000000010232E-2</v>
      </c>
      <c r="CX76">
        <f t="shared" si="105"/>
        <v>9</v>
      </c>
      <c r="CY76">
        <f t="shared" si="106"/>
        <v>-20</v>
      </c>
      <c r="CZ76">
        <f t="shared" si="107"/>
        <v>1340</v>
      </c>
      <c r="DA76" s="19">
        <v>-179.73500000000001</v>
      </c>
      <c r="DB76" s="2">
        <f t="shared" si="108"/>
        <v>1340.2649999999996</v>
      </c>
      <c r="DC76" s="23">
        <f t="shared" si="75"/>
        <v>-20.04000000000002</v>
      </c>
      <c r="DD76" s="6">
        <f t="shared" si="109"/>
        <v>-0.2649999999996453</v>
      </c>
      <c r="DE76" s="12">
        <f t="shared" si="110"/>
        <v>4.0000000000020464E-2</v>
      </c>
      <c r="DM76" s="2"/>
      <c r="DN76" s="2"/>
      <c r="DO76" s="6"/>
      <c r="DP76" s="2"/>
      <c r="DQ76" s="10"/>
    </row>
    <row r="77" spans="2:121" x14ac:dyDescent="0.45">
      <c r="B77">
        <f t="shared" si="124"/>
        <v>69</v>
      </c>
      <c r="C77">
        <v>20</v>
      </c>
      <c r="D77">
        <f t="shared" si="125"/>
        <v>1380</v>
      </c>
      <c r="E77" s="19">
        <v>1380.14</v>
      </c>
      <c r="F77" s="23">
        <f t="shared" si="126"/>
        <v>19.995000000000118</v>
      </c>
      <c r="G77" s="6">
        <f t="shared" si="111"/>
        <v>0.14000000000010004</v>
      </c>
      <c r="H77" s="12">
        <f t="shared" si="127"/>
        <v>-4.9999999998817657E-3</v>
      </c>
      <c r="J77" s="20">
        <f t="shared" si="76"/>
        <v>-2.2737367544323206E-13</v>
      </c>
      <c r="K77" s="2"/>
      <c r="L77">
        <f t="shared" si="128"/>
        <v>69</v>
      </c>
      <c r="M77">
        <v>20</v>
      </c>
      <c r="N77">
        <f t="shared" si="129"/>
        <v>1380</v>
      </c>
      <c r="O77" s="19">
        <v>1380.135</v>
      </c>
      <c r="P77" s="23">
        <f t="shared" si="130"/>
        <v>19.994999999999891</v>
      </c>
      <c r="Q77" s="6">
        <f t="shared" si="112"/>
        <v>0.13499999999999091</v>
      </c>
      <c r="R77" s="27">
        <f t="shared" si="131"/>
        <v>-5.0000000001091394E-3</v>
      </c>
      <c r="S77" s="27"/>
      <c r="T77" s="20">
        <f t="shared" si="77"/>
        <v>-4.9999999998817657E-3</v>
      </c>
      <c r="U77" s="2"/>
      <c r="V77">
        <f t="shared" si="132"/>
        <v>69</v>
      </c>
      <c r="W77">
        <v>20</v>
      </c>
      <c r="X77">
        <f t="shared" si="133"/>
        <v>1380</v>
      </c>
      <c r="Y77" s="19">
        <v>1380.13</v>
      </c>
      <c r="Z77" s="23">
        <f t="shared" si="134"/>
        <v>19.990000000000009</v>
      </c>
      <c r="AA77" s="6">
        <f t="shared" si="113"/>
        <v>0.13000000000010914</v>
      </c>
      <c r="AB77" s="27">
        <f t="shared" si="135"/>
        <v>-9.9999999999909051E-3</v>
      </c>
      <c r="AC77" s="27"/>
      <c r="AD77" s="20">
        <f t="shared" si="78"/>
        <v>9.9999999999909051E-3</v>
      </c>
      <c r="AE77" s="2"/>
      <c r="AF77">
        <f t="shared" si="136"/>
        <v>69</v>
      </c>
      <c r="AG77">
        <v>20</v>
      </c>
      <c r="AH77">
        <f t="shared" si="137"/>
        <v>1380</v>
      </c>
      <c r="AI77" s="19">
        <v>1380.13</v>
      </c>
      <c r="AJ77" s="23">
        <f t="shared" si="138"/>
        <v>20</v>
      </c>
      <c r="AK77" s="6">
        <f t="shared" si="114"/>
        <v>0.13000000000010914</v>
      </c>
      <c r="AL77" s="27">
        <f t="shared" si="139"/>
        <v>0</v>
      </c>
      <c r="AM77" s="27"/>
      <c r="AN77" s="20">
        <f t="shared" si="79"/>
        <v>-1.999999999998181E-2</v>
      </c>
      <c r="AO77" s="2"/>
      <c r="AP77">
        <f t="shared" si="140"/>
        <v>69</v>
      </c>
      <c r="AQ77">
        <v>20</v>
      </c>
      <c r="AR77">
        <f t="shared" si="141"/>
        <v>1380</v>
      </c>
      <c r="AS77" s="19">
        <v>1380.105</v>
      </c>
      <c r="AT77" s="23">
        <f t="shared" si="142"/>
        <v>19.980000000000018</v>
      </c>
      <c r="AU77" s="6">
        <f t="shared" si="115"/>
        <v>0.10500000000001819</v>
      </c>
      <c r="AV77" s="27">
        <f t="shared" si="143"/>
        <v>-1.999999999998181E-2</v>
      </c>
      <c r="AW77" s="27"/>
      <c r="AX77" s="27"/>
      <c r="AY77" s="2">
        <f t="shared" si="116"/>
        <v>1380.1280000000002</v>
      </c>
      <c r="AZ77" s="23">
        <f t="shared" si="117"/>
        <v>19.992000000000008</v>
      </c>
      <c r="BA77" s="6">
        <f t="shared" si="118"/>
        <v>0.12800000000006548</v>
      </c>
      <c r="BB77" s="27">
        <f t="shared" si="119"/>
        <v>-7.9999999999927247E-3</v>
      </c>
      <c r="BC77" s="27"/>
      <c r="BD77" s="36"/>
      <c r="BF77">
        <f t="shared" si="80"/>
        <v>8</v>
      </c>
      <c r="BG77">
        <f t="shared" si="81"/>
        <v>-20</v>
      </c>
      <c r="BH77">
        <f t="shared" si="82"/>
        <v>1360</v>
      </c>
      <c r="BI77" s="19">
        <v>-159.65</v>
      </c>
      <c r="BJ77" s="2">
        <f t="shared" si="83"/>
        <v>1360.3500000000001</v>
      </c>
      <c r="BK77" s="23">
        <f t="shared" si="84"/>
        <v>-20.045000000000016</v>
      </c>
      <c r="BL77" s="6">
        <f t="shared" si="85"/>
        <v>-0.35000000000013642</v>
      </c>
      <c r="BM77" s="12">
        <f t="shared" si="86"/>
        <v>4.5000000000015916E-2</v>
      </c>
      <c r="BO77" s="20">
        <f t="shared" si="120"/>
        <v>-4.9999999999982947E-2</v>
      </c>
      <c r="BQ77">
        <f t="shared" si="87"/>
        <v>8</v>
      </c>
      <c r="BR77">
        <f t="shared" si="88"/>
        <v>-20</v>
      </c>
      <c r="BS77">
        <f t="shared" si="89"/>
        <v>1360</v>
      </c>
      <c r="BT77" s="19">
        <v>-159.69499999999999</v>
      </c>
      <c r="BU77" s="2">
        <f t="shared" si="90"/>
        <v>1360.3049999999998</v>
      </c>
      <c r="BV77" s="23">
        <f t="shared" si="72"/>
        <v>-20.094999999999999</v>
      </c>
      <c r="BW77" s="6">
        <f t="shared" si="91"/>
        <v>-0.30499999999983629</v>
      </c>
      <c r="BX77" s="12">
        <f t="shared" si="92"/>
        <v>9.4999999999998863E-2</v>
      </c>
      <c r="BY77" s="12"/>
      <c r="BZ77" s="20">
        <f t="shared" si="121"/>
        <v>-1.5000000000014779E-2</v>
      </c>
      <c r="CB77">
        <f t="shared" si="93"/>
        <v>8</v>
      </c>
      <c r="CC77">
        <f t="shared" si="94"/>
        <v>-20</v>
      </c>
      <c r="CD77">
        <f t="shared" si="95"/>
        <v>1360</v>
      </c>
      <c r="CE77" s="19">
        <v>-159.70500000000001</v>
      </c>
      <c r="CF77" s="2">
        <f t="shared" si="96"/>
        <v>1360.2950000000001</v>
      </c>
      <c r="CG77" s="23">
        <f t="shared" si="73"/>
        <v>-20.110000000000014</v>
      </c>
      <c r="CH77" s="6">
        <f t="shared" si="97"/>
        <v>-0.29500000000007276</v>
      </c>
      <c r="CI77" s="12">
        <f t="shared" si="98"/>
        <v>0.11000000000001364</v>
      </c>
      <c r="CK77" s="20">
        <f t="shared" si="122"/>
        <v>3.0000000000001137E-2</v>
      </c>
      <c r="CM77">
        <f t="shared" si="99"/>
        <v>8</v>
      </c>
      <c r="CN77">
        <f t="shared" si="100"/>
        <v>-20</v>
      </c>
      <c r="CO77">
        <f t="shared" si="101"/>
        <v>1360</v>
      </c>
      <c r="CP77" s="19">
        <v>-159.685</v>
      </c>
      <c r="CQ77" s="2">
        <f t="shared" si="102"/>
        <v>1360.3150000000001</v>
      </c>
      <c r="CR77" s="23">
        <f t="shared" si="74"/>
        <v>-20.080000000000013</v>
      </c>
      <c r="CS77" s="6">
        <f t="shared" si="103"/>
        <v>-0.31500000000005457</v>
      </c>
      <c r="CT77" s="12">
        <f t="shared" si="104"/>
        <v>8.0000000000012506E-2</v>
      </c>
      <c r="CV77" s="20">
        <f t="shared" si="123"/>
        <v>5.0000000000238742E-3</v>
      </c>
      <c r="CX77">
        <f t="shared" si="105"/>
        <v>8</v>
      </c>
      <c r="CY77">
        <f t="shared" si="106"/>
        <v>-20</v>
      </c>
      <c r="CZ77">
        <f t="shared" si="107"/>
        <v>1360</v>
      </c>
      <c r="DA77" s="19">
        <v>-159.69499999999999</v>
      </c>
      <c r="DB77" s="2">
        <f t="shared" si="108"/>
        <v>1360.3049999999996</v>
      </c>
      <c r="DC77" s="23">
        <f t="shared" si="75"/>
        <v>-20.074999999999989</v>
      </c>
      <c r="DD77" s="6">
        <f t="shared" si="109"/>
        <v>-0.30499999999960892</v>
      </c>
      <c r="DE77" s="12">
        <f t="shared" si="110"/>
        <v>7.4999999999988631E-2</v>
      </c>
      <c r="DM77" s="2"/>
      <c r="DN77" s="2"/>
      <c r="DO77" s="6"/>
      <c r="DP77" s="2"/>
      <c r="DQ77" s="10"/>
    </row>
    <row r="78" spans="2:121" x14ac:dyDescent="0.45">
      <c r="B78">
        <f t="shared" si="124"/>
        <v>70</v>
      </c>
      <c r="C78">
        <v>20</v>
      </c>
      <c r="D78">
        <f t="shared" si="125"/>
        <v>1400</v>
      </c>
      <c r="E78" s="19">
        <v>1400.1849999999999</v>
      </c>
      <c r="F78" s="23">
        <f t="shared" si="126"/>
        <v>20.044999999999845</v>
      </c>
      <c r="G78" s="6">
        <f t="shared" si="111"/>
        <v>0.18499999999994543</v>
      </c>
      <c r="H78" s="12">
        <f t="shared" si="127"/>
        <v>4.4999999999845386E-2</v>
      </c>
      <c r="J78" s="20">
        <f t="shared" si="76"/>
        <v>-9.9999999997635314E-3</v>
      </c>
      <c r="K78" s="2"/>
      <c r="L78">
        <f t="shared" si="128"/>
        <v>70</v>
      </c>
      <c r="M78">
        <v>20</v>
      </c>
      <c r="N78">
        <f t="shared" si="129"/>
        <v>1400</v>
      </c>
      <c r="O78" s="19">
        <v>1400.17</v>
      </c>
      <c r="P78" s="23">
        <f t="shared" si="130"/>
        <v>20.035000000000082</v>
      </c>
      <c r="Q78" s="6">
        <f t="shared" si="112"/>
        <v>0.17000000000007276</v>
      </c>
      <c r="R78" s="27">
        <f t="shared" si="131"/>
        <v>3.5000000000081855E-2</v>
      </c>
      <c r="S78" s="27"/>
      <c r="T78" s="20">
        <f t="shared" si="77"/>
        <v>4.9999999998817657E-3</v>
      </c>
      <c r="U78" s="2"/>
      <c r="V78">
        <f t="shared" si="132"/>
        <v>70</v>
      </c>
      <c r="W78">
        <v>20</v>
      </c>
      <c r="X78">
        <f t="shared" si="133"/>
        <v>1400</v>
      </c>
      <c r="Y78" s="19">
        <v>1400.17</v>
      </c>
      <c r="Z78" s="23">
        <f t="shared" si="134"/>
        <v>20.039999999999964</v>
      </c>
      <c r="AA78" s="6">
        <f t="shared" si="113"/>
        <v>0.17000000000007276</v>
      </c>
      <c r="AB78" s="27">
        <f t="shared" si="135"/>
        <v>3.999999999996362E-2</v>
      </c>
      <c r="AC78" s="27"/>
      <c r="AD78" s="20">
        <f t="shared" si="78"/>
        <v>-9.9999999999909051E-3</v>
      </c>
      <c r="AE78" s="2"/>
      <c r="AF78">
        <f t="shared" si="136"/>
        <v>70</v>
      </c>
      <c r="AG78">
        <v>20</v>
      </c>
      <c r="AH78">
        <f t="shared" si="137"/>
        <v>1400</v>
      </c>
      <c r="AI78" s="19">
        <v>1400.16</v>
      </c>
      <c r="AJ78" s="23">
        <f t="shared" si="138"/>
        <v>20.029999999999973</v>
      </c>
      <c r="AK78" s="6">
        <f t="shared" si="114"/>
        <v>0.16000000000008185</v>
      </c>
      <c r="AL78" s="27">
        <f t="shared" si="139"/>
        <v>2.9999999999972715E-2</v>
      </c>
      <c r="AM78" s="27"/>
      <c r="AN78" s="20">
        <f t="shared" si="79"/>
        <v>-4.9999999998817657E-3</v>
      </c>
      <c r="AO78" s="2"/>
      <c r="AP78">
        <f t="shared" si="140"/>
        <v>70</v>
      </c>
      <c r="AQ78">
        <v>20</v>
      </c>
      <c r="AR78">
        <f t="shared" si="141"/>
        <v>1400</v>
      </c>
      <c r="AS78" s="19">
        <v>1400.13</v>
      </c>
      <c r="AT78" s="23">
        <f t="shared" si="142"/>
        <v>20.025000000000091</v>
      </c>
      <c r="AU78" s="6">
        <f t="shared" si="115"/>
        <v>0.13000000000010914</v>
      </c>
      <c r="AV78" s="27">
        <f t="shared" si="143"/>
        <v>2.5000000000090949E-2</v>
      </c>
      <c r="AW78" s="27"/>
      <c r="AX78" s="27"/>
      <c r="AY78" s="2">
        <f t="shared" si="116"/>
        <v>1400.163</v>
      </c>
      <c r="AZ78" s="23">
        <f t="shared" si="117"/>
        <v>20.034999999999989</v>
      </c>
      <c r="BA78" s="6">
        <f t="shared" si="118"/>
        <v>0.16300000000005638</v>
      </c>
      <c r="BB78" s="27">
        <f t="shared" si="119"/>
        <v>3.4999999999990906E-2</v>
      </c>
      <c r="BC78" s="27"/>
      <c r="BD78" s="36"/>
      <c r="BF78">
        <f t="shared" si="80"/>
        <v>7</v>
      </c>
      <c r="BG78">
        <f t="shared" si="81"/>
        <v>-20</v>
      </c>
      <c r="BH78">
        <f t="shared" si="82"/>
        <v>1380</v>
      </c>
      <c r="BI78" s="19">
        <v>-139.60499999999999</v>
      </c>
      <c r="BJ78" s="2">
        <f t="shared" si="83"/>
        <v>1380.3950000000002</v>
      </c>
      <c r="BK78" s="23">
        <f t="shared" si="84"/>
        <v>-20.074999999999989</v>
      </c>
      <c r="BL78" s="6">
        <f t="shared" si="85"/>
        <v>-0.39500000000020918</v>
      </c>
      <c r="BM78" s="12">
        <f t="shared" si="86"/>
        <v>7.4999999999988631E-2</v>
      </c>
      <c r="BO78" s="20">
        <f t="shared" si="120"/>
        <v>3.9999999999992042E-2</v>
      </c>
      <c r="BQ78">
        <f t="shared" si="87"/>
        <v>7</v>
      </c>
      <c r="BR78">
        <f t="shared" si="88"/>
        <v>-20</v>
      </c>
      <c r="BS78">
        <f t="shared" si="89"/>
        <v>1380</v>
      </c>
      <c r="BT78" s="19">
        <v>-139.6</v>
      </c>
      <c r="BU78" s="2">
        <f t="shared" si="90"/>
        <v>1380.3999999999999</v>
      </c>
      <c r="BV78" s="23">
        <f t="shared" si="72"/>
        <v>-20.034999999999997</v>
      </c>
      <c r="BW78" s="6">
        <f t="shared" si="91"/>
        <v>-0.39999999999986358</v>
      </c>
      <c r="BX78" s="12">
        <f t="shared" si="92"/>
        <v>3.4999999999996589E-2</v>
      </c>
      <c r="BY78" s="12"/>
      <c r="BZ78" s="20">
        <f t="shared" si="121"/>
        <v>-4.9999999999954525E-3</v>
      </c>
      <c r="CB78">
        <f t="shared" si="93"/>
        <v>7</v>
      </c>
      <c r="CC78">
        <f t="shared" si="94"/>
        <v>-20</v>
      </c>
      <c r="CD78">
        <f t="shared" si="95"/>
        <v>1380</v>
      </c>
      <c r="CE78" s="19">
        <v>-139.595</v>
      </c>
      <c r="CF78" s="2">
        <f t="shared" si="96"/>
        <v>1380.405</v>
      </c>
      <c r="CG78" s="23">
        <f t="shared" si="73"/>
        <v>-20.039999999999992</v>
      </c>
      <c r="CH78" s="6">
        <f t="shared" si="97"/>
        <v>-0.40499999999997272</v>
      </c>
      <c r="CI78" s="12">
        <f t="shared" si="98"/>
        <v>3.9999999999992042E-2</v>
      </c>
      <c r="CK78" s="20">
        <f t="shared" si="122"/>
        <v>-4.9999999999954525E-3</v>
      </c>
      <c r="CM78">
        <f t="shared" si="99"/>
        <v>7</v>
      </c>
      <c r="CN78">
        <f t="shared" si="100"/>
        <v>-20</v>
      </c>
      <c r="CO78">
        <f t="shared" si="101"/>
        <v>1380</v>
      </c>
      <c r="CP78" s="19">
        <v>-139.60499999999999</v>
      </c>
      <c r="CQ78" s="2">
        <f t="shared" si="102"/>
        <v>1380.395</v>
      </c>
      <c r="CR78" s="23">
        <f t="shared" si="74"/>
        <v>-20.044999999999987</v>
      </c>
      <c r="CS78" s="6">
        <f t="shared" si="103"/>
        <v>-0.39499999999998181</v>
      </c>
      <c r="CT78" s="12">
        <f t="shared" si="104"/>
        <v>4.4999999999987494E-2</v>
      </c>
      <c r="CV78" s="20">
        <f t="shared" si="123"/>
        <v>-1.0000000000019327E-2</v>
      </c>
      <c r="CX78">
        <f t="shared" si="105"/>
        <v>7</v>
      </c>
      <c r="CY78">
        <f t="shared" si="106"/>
        <v>-20</v>
      </c>
      <c r="CZ78">
        <f t="shared" si="107"/>
        <v>1380</v>
      </c>
      <c r="DA78" s="19">
        <v>-139.62</v>
      </c>
      <c r="DB78" s="2">
        <f t="shared" si="108"/>
        <v>1380.3799999999997</v>
      </c>
      <c r="DC78" s="23">
        <f t="shared" si="75"/>
        <v>-20.055000000000007</v>
      </c>
      <c r="DD78" s="6">
        <f t="shared" si="109"/>
        <v>-0.37999999999965439</v>
      </c>
      <c r="DE78" s="12">
        <f t="shared" si="110"/>
        <v>5.5000000000006821E-2</v>
      </c>
      <c r="DM78" s="2"/>
      <c r="DN78" s="2"/>
      <c r="DO78" s="6"/>
      <c r="DP78" s="2"/>
      <c r="DQ78" s="10"/>
    </row>
    <row r="79" spans="2:121" x14ac:dyDescent="0.45">
      <c r="B79">
        <f t="shared" si="124"/>
        <v>71</v>
      </c>
      <c r="C79">
        <v>20</v>
      </c>
      <c r="D79">
        <f t="shared" si="125"/>
        <v>1420</v>
      </c>
      <c r="E79" s="19">
        <v>1420.19</v>
      </c>
      <c r="F79" s="23">
        <f t="shared" si="126"/>
        <v>20.005000000000109</v>
      </c>
      <c r="G79" s="6">
        <f t="shared" si="111"/>
        <v>0.19000000000005457</v>
      </c>
      <c r="H79" s="12">
        <f t="shared" si="127"/>
        <v>5.0000000001091394E-3</v>
      </c>
      <c r="J79" s="20">
        <f t="shared" si="76"/>
        <v>1.4999999999872671E-2</v>
      </c>
      <c r="K79" s="2"/>
      <c r="L79">
        <f t="shared" si="128"/>
        <v>71</v>
      </c>
      <c r="M79">
        <v>20</v>
      </c>
      <c r="N79">
        <f t="shared" si="129"/>
        <v>1420</v>
      </c>
      <c r="O79" s="19">
        <v>1420.19</v>
      </c>
      <c r="P79" s="23">
        <f t="shared" si="130"/>
        <v>20.019999999999982</v>
      </c>
      <c r="Q79" s="6">
        <f t="shared" si="112"/>
        <v>0.19000000000005457</v>
      </c>
      <c r="R79" s="27">
        <f t="shared" si="131"/>
        <v>1.999999999998181E-2</v>
      </c>
      <c r="S79" s="27"/>
      <c r="T79" s="20">
        <f t="shared" si="77"/>
        <v>-5.0000000001091394E-3</v>
      </c>
      <c r="U79" s="2"/>
      <c r="V79">
        <f t="shared" si="132"/>
        <v>71</v>
      </c>
      <c r="W79">
        <v>20</v>
      </c>
      <c r="X79">
        <f t="shared" si="133"/>
        <v>1420</v>
      </c>
      <c r="Y79" s="19">
        <v>1420.1849999999999</v>
      </c>
      <c r="Z79" s="23">
        <f t="shared" si="134"/>
        <v>20.014999999999873</v>
      </c>
      <c r="AA79" s="6">
        <f t="shared" si="113"/>
        <v>0.18499999999994543</v>
      </c>
      <c r="AB79" s="27">
        <f t="shared" si="135"/>
        <v>1.4999999999872671E-2</v>
      </c>
      <c r="AC79" s="27"/>
      <c r="AD79" s="20">
        <f t="shared" si="78"/>
        <v>0</v>
      </c>
      <c r="AE79" s="2"/>
      <c r="AF79">
        <f t="shared" si="136"/>
        <v>71</v>
      </c>
      <c r="AG79">
        <v>20</v>
      </c>
      <c r="AH79">
        <f t="shared" si="137"/>
        <v>1420</v>
      </c>
      <c r="AI79" s="19">
        <v>1420.175</v>
      </c>
      <c r="AJ79" s="23">
        <f t="shared" si="138"/>
        <v>20.014999999999873</v>
      </c>
      <c r="AK79" s="6">
        <f t="shared" si="114"/>
        <v>0.17499999999995453</v>
      </c>
      <c r="AL79" s="27">
        <f t="shared" si="139"/>
        <v>1.4999999999872671E-2</v>
      </c>
      <c r="AM79" s="27"/>
      <c r="AN79" s="20">
        <f t="shared" si="79"/>
        <v>5.0000000001091394E-3</v>
      </c>
      <c r="AO79" s="2"/>
      <c r="AP79">
        <f t="shared" si="140"/>
        <v>71</v>
      </c>
      <c r="AQ79">
        <v>20</v>
      </c>
      <c r="AR79">
        <f t="shared" si="141"/>
        <v>1420</v>
      </c>
      <c r="AS79" s="19">
        <v>1420.15</v>
      </c>
      <c r="AT79" s="23">
        <f t="shared" si="142"/>
        <v>20.019999999999982</v>
      </c>
      <c r="AU79" s="6">
        <f t="shared" si="115"/>
        <v>0.15000000000009095</v>
      </c>
      <c r="AV79" s="27">
        <f t="shared" si="143"/>
        <v>1.999999999998181E-2</v>
      </c>
      <c r="AW79" s="27"/>
      <c r="AX79" s="27"/>
      <c r="AY79" s="2">
        <f t="shared" si="116"/>
        <v>1420.1780000000003</v>
      </c>
      <c r="AZ79" s="23">
        <f t="shared" si="117"/>
        <v>20.014999999999965</v>
      </c>
      <c r="BA79" s="6">
        <f t="shared" si="118"/>
        <v>0.17800000000002</v>
      </c>
      <c r="BB79" s="27">
        <f t="shared" si="119"/>
        <v>1.4999999999963621E-2</v>
      </c>
      <c r="BC79" s="27"/>
      <c r="BD79" s="36"/>
      <c r="BF79">
        <f t="shared" si="80"/>
        <v>6</v>
      </c>
      <c r="BG79">
        <f t="shared" si="81"/>
        <v>-20</v>
      </c>
      <c r="BH79">
        <f t="shared" si="82"/>
        <v>1400</v>
      </c>
      <c r="BI79" s="19">
        <v>-119.53</v>
      </c>
      <c r="BJ79" s="2">
        <f t="shared" si="83"/>
        <v>1400.4700000000003</v>
      </c>
      <c r="BK79" s="23">
        <f t="shared" si="84"/>
        <v>-19.995000000000005</v>
      </c>
      <c r="BL79" s="6">
        <f t="shared" si="85"/>
        <v>-0.47000000000025466</v>
      </c>
      <c r="BM79" s="12">
        <f t="shared" si="86"/>
        <v>-4.9999999999954525E-3</v>
      </c>
      <c r="BO79" s="20">
        <f t="shared" si="120"/>
        <v>-9.9999999999909051E-3</v>
      </c>
      <c r="BQ79">
        <f t="shared" si="87"/>
        <v>6</v>
      </c>
      <c r="BR79">
        <f t="shared" si="88"/>
        <v>-20</v>
      </c>
      <c r="BS79">
        <f t="shared" si="89"/>
        <v>1400</v>
      </c>
      <c r="BT79" s="19">
        <v>-119.565</v>
      </c>
      <c r="BU79" s="2">
        <f t="shared" si="90"/>
        <v>1400.4349999999999</v>
      </c>
      <c r="BV79" s="23">
        <f t="shared" si="72"/>
        <v>-20.004999999999995</v>
      </c>
      <c r="BW79" s="6">
        <f t="shared" si="91"/>
        <v>-0.43499999999994543</v>
      </c>
      <c r="BX79" s="12">
        <f t="shared" si="92"/>
        <v>4.9999999999954525E-3</v>
      </c>
      <c r="BY79" s="12"/>
      <c r="BZ79" s="20">
        <f t="shared" si="121"/>
        <v>1.4999999999986358E-2</v>
      </c>
      <c r="CB79">
        <f t="shared" si="93"/>
        <v>6</v>
      </c>
      <c r="CC79">
        <f t="shared" si="94"/>
        <v>-20</v>
      </c>
      <c r="CD79">
        <f t="shared" si="95"/>
        <v>1400</v>
      </c>
      <c r="CE79" s="19">
        <v>-119.55500000000001</v>
      </c>
      <c r="CF79" s="2">
        <f t="shared" si="96"/>
        <v>1400.4449999999999</v>
      </c>
      <c r="CG79" s="23">
        <f t="shared" si="73"/>
        <v>-19.990000000000009</v>
      </c>
      <c r="CH79" s="6">
        <f t="shared" si="97"/>
        <v>-0.44499999999993634</v>
      </c>
      <c r="CI79" s="12">
        <f t="shared" si="98"/>
        <v>-9.9999999999909051E-3</v>
      </c>
      <c r="CK79" s="20">
        <f t="shared" si="122"/>
        <v>-1.4999999999986358E-2</v>
      </c>
      <c r="CM79">
        <f t="shared" si="99"/>
        <v>6</v>
      </c>
      <c r="CN79">
        <f t="shared" si="100"/>
        <v>-20</v>
      </c>
      <c r="CO79">
        <f t="shared" si="101"/>
        <v>1400</v>
      </c>
      <c r="CP79" s="19">
        <v>-119.56</v>
      </c>
      <c r="CQ79" s="2">
        <f t="shared" si="102"/>
        <v>1400.44</v>
      </c>
      <c r="CR79" s="23">
        <f t="shared" si="74"/>
        <v>-20.004999999999995</v>
      </c>
      <c r="CS79" s="6">
        <f t="shared" si="103"/>
        <v>-0.44000000000005457</v>
      </c>
      <c r="CT79" s="12">
        <f t="shared" si="104"/>
        <v>4.9999999999954525E-3</v>
      </c>
      <c r="CV79" s="20">
        <f t="shared" si="123"/>
        <v>1.9999999999996021E-2</v>
      </c>
      <c r="CX79">
        <f t="shared" si="105"/>
        <v>6</v>
      </c>
      <c r="CY79">
        <f t="shared" si="106"/>
        <v>-20</v>
      </c>
      <c r="CZ79">
        <f t="shared" si="107"/>
        <v>1400</v>
      </c>
      <c r="DA79" s="19">
        <v>-119.565</v>
      </c>
      <c r="DB79" s="2">
        <f t="shared" si="108"/>
        <v>1400.4349999999997</v>
      </c>
      <c r="DC79" s="23">
        <f t="shared" si="75"/>
        <v>-19.984999999999999</v>
      </c>
      <c r="DD79" s="6">
        <f t="shared" si="109"/>
        <v>-0.43499999999971806</v>
      </c>
      <c r="DE79" s="12">
        <f t="shared" si="110"/>
        <v>-1.5000000000000568E-2</v>
      </c>
      <c r="DM79" s="2"/>
      <c r="DN79" s="2"/>
      <c r="DO79" s="6"/>
      <c r="DP79" s="2"/>
      <c r="DQ79" s="10"/>
    </row>
    <row r="80" spans="2:121" x14ac:dyDescent="0.45">
      <c r="B80">
        <f t="shared" si="124"/>
        <v>72</v>
      </c>
      <c r="C80">
        <v>20</v>
      </c>
      <c r="D80">
        <f t="shared" si="125"/>
        <v>1440</v>
      </c>
      <c r="E80" s="19">
        <v>1440.175</v>
      </c>
      <c r="F80" s="23">
        <f t="shared" si="126"/>
        <v>19.9849999999999</v>
      </c>
      <c r="G80" s="6">
        <f t="shared" si="111"/>
        <v>0.17499999999995453</v>
      </c>
      <c r="H80" s="12">
        <f t="shared" si="127"/>
        <v>-1.5000000000100044E-2</v>
      </c>
      <c r="J80" s="20">
        <f t="shared" si="76"/>
        <v>9.9999999999909051E-3</v>
      </c>
      <c r="K80" s="2"/>
      <c r="L80">
        <f t="shared" si="128"/>
        <v>72</v>
      </c>
      <c r="M80">
        <v>20</v>
      </c>
      <c r="N80">
        <f t="shared" si="129"/>
        <v>1440</v>
      </c>
      <c r="O80" s="19">
        <v>1440.1849999999999</v>
      </c>
      <c r="P80" s="23">
        <f t="shared" si="130"/>
        <v>19.994999999999891</v>
      </c>
      <c r="Q80" s="6">
        <f t="shared" si="112"/>
        <v>0.18499999999994543</v>
      </c>
      <c r="R80" s="27">
        <f t="shared" si="131"/>
        <v>-5.0000000001091394E-3</v>
      </c>
      <c r="S80" s="27"/>
      <c r="T80" s="20">
        <f t="shared" si="77"/>
        <v>-8.9999999999918145E-2</v>
      </c>
      <c r="U80" s="2"/>
      <c r="V80">
        <f t="shared" si="132"/>
        <v>72</v>
      </c>
      <c r="W80">
        <v>20</v>
      </c>
      <c r="X80">
        <f t="shared" si="133"/>
        <v>1440</v>
      </c>
      <c r="Y80" s="19">
        <v>1440.09</v>
      </c>
      <c r="Z80" s="23">
        <f t="shared" si="134"/>
        <v>19.904999999999973</v>
      </c>
      <c r="AA80" s="6">
        <f t="shared" si="113"/>
        <v>8.9999999999918145E-2</v>
      </c>
      <c r="AB80" s="27">
        <f t="shared" si="135"/>
        <v>-9.5000000000027285E-2</v>
      </c>
      <c r="AC80" s="27"/>
      <c r="AD80" s="20">
        <f t="shared" si="78"/>
        <v>8.500000000003638E-2</v>
      </c>
      <c r="AE80" s="2"/>
      <c r="AF80">
        <f t="shared" si="136"/>
        <v>72</v>
      </c>
      <c r="AG80">
        <v>20</v>
      </c>
      <c r="AH80">
        <f t="shared" si="137"/>
        <v>1440</v>
      </c>
      <c r="AI80" s="19">
        <v>1440.165</v>
      </c>
      <c r="AJ80" s="23">
        <f t="shared" si="138"/>
        <v>19.990000000000009</v>
      </c>
      <c r="AK80" s="6">
        <f t="shared" si="114"/>
        <v>0.16499999999996362</v>
      </c>
      <c r="AL80" s="27">
        <f t="shared" si="139"/>
        <v>-9.9999999999909051E-3</v>
      </c>
      <c r="AM80" s="27"/>
      <c r="AN80" s="20">
        <f t="shared" si="79"/>
        <v>4.9999999998817657E-3</v>
      </c>
      <c r="AO80" s="2"/>
      <c r="AP80">
        <f t="shared" si="140"/>
        <v>72</v>
      </c>
      <c r="AQ80">
        <v>20</v>
      </c>
      <c r="AR80">
        <f t="shared" si="141"/>
        <v>1440</v>
      </c>
      <c r="AS80" s="19">
        <v>1440.145</v>
      </c>
      <c r="AT80" s="23">
        <f t="shared" si="142"/>
        <v>19.994999999999891</v>
      </c>
      <c r="AU80" s="6">
        <f t="shared" si="115"/>
        <v>0.14499999999998181</v>
      </c>
      <c r="AV80" s="27">
        <f t="shared" si="143"/>
        <v>-5.0000000001091394E-3</v>
      </c>
      <c r="AW80" s="27"/>
      <c r="AX80" s="27"/>
      <c r="AY80" s="2">
        <f t="shared" si="116"/>
        <v>1440.152</v>
      </c>
      <c r="AZ80" s="23">
        <f t="shared" si="117"/>
        <v>19.973999999999933</v>
      </c>
      <c r="BA80" s="6">
        <f t="shared" si="118"/>
        <v>0.1519999999999527</v>
      </c>
      <c r="BB80" s="27">
        <f t="shared" si="119"/>
        <v>-2.6000000000067303E-2</v>
      </c>
      <c r="BC80" s="27"/>
      <c r="BD80" s="36"/>
      <c r="BF80">
        <f t="shared" si="80"/>
        <v>5</v>
      </c>
      <c r="BG80">
        <f t="shared" si="81"/>
        <v>-20</v>
      </c>
      <c r="BH80">
        <f t="shared" si="82"/>
        <v>1420</v>
      </c>
      <c r="BI80" s="19">
        <v>-99.534999999999997</v>
      </c>
      <c r="BJ80" s="2">
        <f t="shared" si="83"/>
        <v>1420.4650000000001</v>
      </c>
      <c r="BK80" s="23">
        <f t="shared" si="84"/>
        <v>-19.914999999999992</v>
      </c>
      <c r="BL80" s="6">
        <f t="shared" si="85"/>
        <v>-0.46500000000014552</v>
      </c>
      <c r="BM80" s="12">
        <f t="shared" si="86"/>
        <v>-8.5000000000007958E-2</v>
      </c>
      <c r="BO80" s="20">
        <f t="shared" si="120"/>
        <v>1.9999999999996021E-2</v>
      </c>
      <c r="BQ80">
        <f t="shared" si="87"/>
        <v>5</v>
      </c>
      <c r="BR80">
        <f t="shared" si="88"/>
        <v>-20</v>
      </c>
      <c r="BS80">
        <f t="shared" si="89"/>
        <v>1420</v>
      </c>
      <c r="BT80" s="19">
        <v>-99.56</v>
      </c>
      <c r="BU80" s="2">
        <f t="shared" si="90"/>
        <v>1420.44</v>
      </c>
      <c r="BV80" s="23">
        <f t="shared" si="72"/>
        <v>-19.894999999999996</v>
      </c>
      <c r="BW80" s="6">
        <f t="shared" si="91"/>
        <v>-0.44000000000005457</v>
      </c>
      <c r="BX80" s="12">
        <f t="shared" si="92"/>
        <v>-0.10500000000000398</v>
      </c>
      <c r="BY80" s="12"/>
      <c r="BZ80" s="20">
        <f t="shared" si="121"/>
        <v>-1.9999999999996021E-2</v>
      </c>
      <c r="CB80">
        <f t="shared" si="93"/>
        <v>5</v>
      </c>
      <c r="CC80">
        <f t="shared" si="94"/>
        <v>-20</v>
      </c>
      <c r="CD80">
        <f t="shared" si="95"/>
        <v>1420</v>
      </c>
      <c r="CE80" s="19">
        <v>-99.564999999999998</v>
      </c>
      <c r="CF80" s="2">
        <f t="shared" si="96"/>
        <v>1420.4349999999999</v>
      </c>
      <c r="CG80" s="23">
        <f t="shared" si="73"/>
        <v>-19.914999999999992</v>
      </c>
      <c r="CH80" s="6">
        <f t="shared" si="97"/>
        <v>-0.43499999999994543</v>
      </c>
      <c r="CI80" s="12">
        <f t="shared" si="98"/>
        <v>-8.5000000000007958E-2</v>
      </c>
      <c r="CK80" s="20">
        <f t="shared" si="122"/>
        <v>4.9999999999812417E-3</v>
      </c>
      <c r="CM80">
        <f t="shared" si="99"/>
        <v>5</v>
      </c>
      <c r="CN80">
        <f t="shared" si="100"/>
        <v>-20</v>
      </c>
      <c r="CO80">
        <f t="shared" si="101"/>
        <v>1420</v>
      </c>
      <c r="CP80" s="19">
        <v>-99.555000000000007</v>
      </c>
      <c r="CQ80" s="2">
        <f t="shared" si="102"/>
        <v>1420.4449999999999</v>
      </c>
      <c r="CR80" s="23">
        <f t="shared" si="74"/>
        <v>-19.910000000000011</v>
      </c>
      <c r="CS80" s="6">
        <f t="shared" si="103"/>
        <v>-0.44499999999993634</v>
      </c>
      <c r="CT80" s="12">
        <f t="shared" si="104"/>
        <v>-8.99999999999892E-2</v>
      </c>
      <c r="CV80" s="20">
        <f t="shared" si="123"/>
        <v>-1.999999999998181E-2</v>
      </c>
      <c r="CX80">
        <f t="shared" si="105"/>
        <v>5</v>
      </c>
      <c r="CY80">
        <f t="shared" si="106"/>
        <v>-20</v>
      </c>
      <c r="CZ80">
        <f t="shared" si="107"/>
        <v>1420</v>
      </c>
      <c r="DA80" s="19">
        <v>-99.58</v>
      </c>
      <c r="DB80" s="2">
        <f t="shared" si="108"/>
        <v>1420.4199999999996</v>
      </c>
      <c r="DC80" s="23">
        <f t="shared" si="75"/>
        <v>-19.929999999999993</v>
      </c>
      <c r="DD80" s="6">
        <f t="shared" si="109"/>
        <v>-0.41999999999961801</v>
      </c>
      <c r="DE80" s="12">
        <f t="shared" si="110"/>
        <v>-7.000000000000739E-2</v>
      </c>
      <c r="DM80" s="2"/>
      <c r="DN80" s="2"/>
      <c r="DO80" s="6"/>
      <c r="DP80" s="2"/>
      <c r="DQ80" s="10"/>
    </row>
    <row r="81" spans="2:121" x14ac:dyDescent="0.45">
      <c r="B81">
        <f t="shared" si="124"/>
        <v>73</v>
      </c>
      <c r="C81">
        <v>20</v>
      </c>
      <c r="D81">
        <f t="shared" si="125"/>
        <v>1460</v>
      </c>
      <c r="E81" s="19">
        <v>1460.11</v>
      </c>
      <c r="F81" s="23">
        <f t="shared" si="126"/>
        <v>19.934999999999945</v>
      </c>
      <c r="G81" s="6">
        <f t="shared" si="111"/>
        <v>0.10999999999989996</v>
      </c>
      <c r="H81" s="12">
        <f t="shared" si="127"/>
        <v>-6.500000000005457E-2</v>
      </c>
      <c r="J81" s="20">
        <f t="shared" si="76"/>
        <v>-4.9999999998817657E-3</v>
      </c>
      <c r="K81" s="2"/>
      <c r="L81">
        <f t="shared" si="128"/>
        <v>73</v>
      </c>
      <c r="M81">
        <v>20</v>
      </c>
      <c r="N81">
        <f t="shared" si="129"/>
        <v>1460</v>
      </c>
      <c r="O81" s="19">
        <v>1460.115</v>
      </c>
      <c r="P81" s="23">
        <f t="shared" si="130"/>
        <v>19.930000000000064</v>
      </c>
      <c r="Q81" s="6">
        <f t="shared" si="112"/>
        <v>0.11500000000000909</v>
      </c>
      <c r="R81" s="27">
        <f t="shared" si="131"/>
        <v>-6.9999999999936335E-2</v>
      </c>
      <c r="S81" s="27"/>
      <c r="T81" s="20">
        <f t="shared" si="77"/>
        <v>3.999999999996362E-2</v>
      </c>
      <c r="U81" s="2"/>
      <c r="V81">
        <f t="shared" si="132"/>
        <v>73</v>
      </c>
      <c r="W81">
        <v>20</v>
      </c>
      <c r="X81">
        <f t="shared" si="133"/>
        <v>1460</v>
      </c>
      <c r="Y81" s="19">
        <v>1460.06</v>
      </c>
      <c r="Z81" s="23">
        <f t="shared" si="134"/>
        <v>19.970000000000027</v>
      </c>
      <c r="AA81" s="6">
        <f t="shared" si="113"/>
        <v>5.999999999994543E-2</v>
      </c>
      <c r="AB81" s="27">
        <f t="shared" si="135"/>
        <v>-2.9999999999972715E-2</v>
      </c>
      <c r="AC81" s="27"/>
      <c r="AD81" s="20">
        <f t="shared" si="78"/>
        <v>-3.5000000000081855E-2</v>
      </c>
      <c r="AE81" s="2"/>
      <c r="AF81">
        <f t="shared" si="136"/>
        <v>73</v>
      </c>
      <c r="AG81">
        <v>20</v>
      </c>
      <c r="AH81">
        <f t="shared" si="137"/>
        <v>1460</v>
      </c>
      <c r="AI81" s="19">
        <v>1460.1</v>
      </c>
      <c r="AJ81" s="23">
        <f t="shared" si="138"/>
        <v>19.934999999999945</v>
      </c>
      <c r="AK81" s="6">
        <f t="shared" si="114"/>
        <v>9.9999999999909051E-2</v>
      </c>
      <c r="AL81" s="27">
        <f t="shared" si="139"/>
        <v>-6.500000000005457E-2</v>
      </c>
      <c r="AM81" s="27"/>
      <c r="AN81" s="20">
        <f t="shared" si="79"/>
        <v>-4.9999999998817657E-3</v>
      </c>
      <c r="AO81" s="2"/>
      <c r="AP81">
        <f t="shared" si="140"/>
        <v>73</v>
      </c>
      <c r="AQ81">
        <v>20</v>
      </c>
      <c r="AR81">
        <f t="shared" si="141"/>
        <v>1460</v>
      </c>
      <c r="AS81" s="19">
        <v>1460.075</v>
      </c>
      <c r="AT81" s="23">
        <f t="shared" si="142"/>
        <v>19.930000000000064</v>
      </c>
      <c r="AU81" s="6">
        <f t="shared" si="115"/>
        <v>7.5000000000045475E-2</v>
      </c>
      <c r="AV81" s="27">
        <f t="shared" si="143"/>
        <v>-6.9999999999936335E-2</v>
      </c>
      <c r="AW81" s="27"/>
      <c r="AX81" s="27"/>
      <c r="AY81" s="2">
        <f t="shared" si="116"/>
        <v>1460.0920000000001</v>
      </c>
      <c r="AZ81" s="23">
        <f t="shared" si="117"/>
        <v>19.940000000000008</v>
      </c>
      <c r="BA81" s="6">
        <f t="shared" si="118"/>
        <v>9.1999999999961807E-2</v>
      </c>
      <c r="BB81" s="27">
        <f t="shared" si="119"/>
        <v>-5.9999999999990908E-2</v>
      </c>
      <c r="BC81" s="27"/>
      <c r="BD81" s="36"/>
      <c r="BF81">
        <f t="shared" si="80"/>
        <v>4</v>
      </c>
      <c r="BG81">
        <f>BG82</f>
        <v>-20</v>
      </c>
      <c r="BH81">
        <f t="shared" si="82"/>
        <v>1440</v>
      </c>
      <c r="BI81" s="19">
        <v>-79.62</v>
      </c>
      <c r="BJ81" s="2">
        <f t="shared" si="83"/>
        <v>1440.38</v>
      </c>
      <c r="BK81" s="23">
        <f t="shared" si="84"/>
        <v>-19.865000000000002</v>
      </c>
      <c r="BL81" s="6">
        <f t="shared" si="85"/>
        <v>-0.38000000000010914</v>
      </c>
      <c r="BM81" s="12">
        <f t="shared" si="86"/>
        <v>-0.13499999999999801</v>
      </c>
      <c r="BO81" s="20">
        <f t="shared" si="120"/>
        <v>-4.0000000000006253E-2</v>
      </c>
      <c r="BQ81">
        <f t="shared" si="87"/>
        <v>4</v>
      </c>
      <c r="BR81">
        <f>BR82</f>
        <v>-20</v>
      </c>
      <c r="BS81">
        <f t="shared" si="89"/>
        <v>1440</v>
      </c>
      <c r="BT81" s="19">
        <v>-79.665000000000006</v>
      </c>
      <c r="BU81" s="2">
        <f t="shared" si="90"/>
        <v>1440.335</v>
      </c>
      <c r="BV81" s="23">
        <f t="shared" si="72"/>
        <v>-19.905000000000008</v>
      </c>
      <c r="BW81" s="6">
        <f t="shared" si="91"/>
        <v>-0.33500000000003638</v>
      </c>
      <c r="BX81" s="12">
        <f t="shared" si="92"/>
        <v>-9.4999999999991758E-2</v>
      </c>
      <c r="BY81" s="12"/>
      <c r="BZ81" s="20">
        <f t="shared" si="121"/>
        <v>2.5000000000005684E-2</v>
      </c>
      <c r="CB81">
        <f t="shared" si="93"/>
        <v>4</v>
      </c>
      <c r="CC81">
        <f>CC82</f>
        <v>-20</v>
      </c>
      <c r="CD81">
        <f t="shared" si="95"/>
        <v>1440</v>
      </c>
      <c r="CE81" s="19">
        <v>-79.650000000000006</v>
      </c>
      <c r="CF81" s="2">
        <f t="shared" si="96"/>
        <v>1440.35</v>
      </c>
      <c r="CG81" s="23">
        <f t="shared" si="73"/>
        <v>-19.880000000000003</v>
      </c>
      <c r="CH81" s="6">
        <f t="shared" si="97"/>
        <v>-0.34999999999990905</v>
      </c>
      <c r="CI81" s="12">
        <f t="shared" si="98"/>
        <v>-0.11999999999999744</v>
      </c>
      <c r="CK81" s="20">
        <f t="shared" si="122"/>
        <v>-4.9999999999954525E-3</v>
      </c>
      <c r="CM81">
        <f t="shared" si="99"/>
        <v>4</v>
      </c>
      <c r="CN81">
        <f>CN82</f>
        <v>-20</v>
      </c>
      <c r="CO81">
        <f t="shared" si="101"/>
        <v>1440</v>
      </c>
      <c r="CP81" s="19">
        <v>-79.644999999999996</v>
      </c>
      <c r="CQ81" s="2">
        <f t="shared" si="102"/>
        <v>1440.355</v>
      </c>
      <c r="CR81" s="23">
        <f t="shared" si="74"/>
        <v>-19.884999999999998</v>
      </c>
      <c r="CS81" s="6">
        <f t="shared" si="103"/>
        <v>-0.35500000000001819</v>
      </c>
      <c r="CT81" s="12">
        <f t="shared" si="104"/>
        <v>-0.11500000000000199</v>
      </c>
      <c r="CV81" s="20">
        <f t="shared" si="123"/>
        <v>2.9999999999994031E-2</v>
      </c>
      <c r="CX81">
        <f t="shared" si="105"/>
        <v>4</v>
      </c>
      <c r="CY81">
        <f>CY82</f>
        <v>-20</v>
      </c>
      <c r="CZ81">
        <f t="shared" si="107"/>
        <v>1440</v>
      </c>
      <c r="DA81" s="19">
        <v>-79.650000000000006</v>
      </c>
      <c r="DB81" s="2">
        <f t="shared" si="108"/>
        <v>1440.3499999999997</v>
      </c>
      <c r="DC81" s="23">
        <f t="shared" si="75"/>
        <v>-19.855000000000004</v>
      </c>
      <c r="DD81" s="6">
        <f t="shared" si="109"/>
        <v>-0.34999999999968168</v>
      </c>
      <c r="DE81" s="12">
        <f t="shared" si="110"/>
        <v>-0.14499999999999602</v>
      </c>
      <c r="DM81" s="2"/>
      <c r="DN81" s="2"/>
      <c r="DO81" s="6"/>
      <c r="DP81" s="2"/>
      <c r="DQ81" s="10"/>
    </row>
    <row r="82" spans="2:121" x14ac:dyDescent="0.45">
      <c r="B82">
        <f t="shared" si="124"/>
        <v>74</v>
      </c>
      <c r="C82">
        <v>20</v>
      </c>
      <c r="D82">
        <f t="shared" si="125"/>
        <v>1480</v>
      </c>
      <c r="E82" s="19">
        <v>1480</v>
      </c>
      <c r="F82" s="23">
        <f t="shared" si="126"/>
        <v>19.8900000000001</v>
      </c>
      <c r="G82" s="6">
        <f t="shared" si="111"/>
        <v>0</v>
      </c>
      <c r="H82" s="12">
        <f t="shared" si="127"/>
        <v>-0.10999999999989996</v>
      </c>
      <c r="J82" s="20">
        <f t="shared" si="76"/>
        <v>0</v>
      </c>
      <c r="K82" s="2"/>
      <c r="L82">
        <f t="shared" si="128"/>
        <v>74</v>
      </c>
      <c r="M82">
        <v>20</v>
      </c>
      <c r="N82">
        <f t="shared" si="129"/>
        <v>1480</v>
      </c>
      <c r="O82" s="19">
        <v>1480.0050000000001</v>
      </c>
      <c r="P82" s="23">
        <f t="shared" si="130"/>
        <v>19.8900000000001</v>
      </c>
      <c r="Q82" s="6">
        <f t="shared" si="112"/>
        <v>5.0000000001091394E-3</v>
      </c>
      <c r="R82" s="27">
        <f t="shared" si="131"/>
        <v>-0.10999999999989996</v>
      </c>
      <c r="S82" s="27"/>
      <c r="T82" s="20">
        <f t="shared" si="77"/>
        <v>1.999999999998181E-2</v>
      </c>
      <c r="U82" s="2"/>
      <c r="V82">
        <f t="shared" si="132"/>
        <v>74</v>
      </c>
      <c r="W82">
        <v>20</v>
      </c>
      <c r="X82">
        <f t="shared" si="133"/>
        <v>1480</v>
      </c>
      <c r="Y82" s="19">
        <v>1479.97</v>
      </c>
      <c r="Z82" s="23">
        <f t="shared" si="134"/>
        <v>19.910000000000082</v>
      </c>
      <c r="AA82" s="6">
        <f t="shared" si="113"/>
        <v>-2.9999999999972715E-2</v>
      </c>
      <c r="AB82" s="27">
        <f t="shared" si="135"/>
        <v>-8.9999999999918145E-2</v>
      </c>
      <c r="AC82" s="27"/>
      <c r="AD82" s="20">
        <f t="shared" si="78"/>
        <v>-1.5000000000100044E-2</v>
      </c>
      <c r="AE82" s="2"/>
      <c r="AF82">
        <f t="shared" si="136"/>
        <v>74</v>
      </c>
      <c r="AG82">
        <v>20</v>
      </c>
      <c r="AH82">
        <f t="shared" si="137"/>
        <v>1480</v>
      </c>
      <c r="AI82" s="19">
        <v>1479.9949999999999</v>
      </c>
      <c r="AJ82" s="23">
        <f t="shared" si="138"/>
        <v>19.894999999999982</v>
      </c>
      <c r="AK82" s="6">
        <f t="shared" si="114"/>
        <v>-5.0000000001091394E-3</v>
      </c>
      <c r="AL82" s="27">
        <f t="shared" si="139"/>
        <v>-0.10500000000001819</v>
      </c>
      <c r="AM82" s="27"/>
      <c r="AN82" s="20">
        <f t="shared" si="79"/>
        <v>4.9999999998817657E-3</v>
      </c>
      <c r="AO82" s="2"/>
      <c r="AP82">
        <f t="shared" si="140"/>
        <v>74</v>
      </c>
      <c r="AQ82">
        <v>20</v>
      </c>
      <c r="AR82">
        <f t="shared" si="141"/>
        <v>1480</v>
      </c>
      <c r="AS82" s="19">
        <v>1479.9749999999999</v>
      </c>
      <c r="AT82" s="23">
        <f t="shared" si="142"/>
        <v>19.899999999999864</v>
      </c>
      <c r="AU82" s="6">
        <f t="shared" si="115"/>
        <v>-2.5000000000090949E-2</v>
      </c>
      <c r="AV82" s="27">
        <f t="shared" si="143"/>
        <v>-0.10000000000013642</v>
      </c>
      <c r="AW82" s="27"/>
      <c r="AX82" s="27"/>
      <c r="AY82" s="2">
        <f t="shared" si="116"/>
        <v>1479.989</v>
      </c>
      <c r="AZ82" s="23">
        <f t="shared" si="117"/>
        <v>19.897000000000027</v>
      </c>
      <c r="BA82" s="6">
        <f t="shared" si="118"/>
        <v>-1.1000000000012732E-2</v>
      </c>
      <c r="BB82" s="27">
        <f t="shared" si="119"/>
        <v>-0.10299999999997453</v>
      </c>
      <c r="BC82" s="27"/>
      <c r="BD82" s="36"/>
      <c r="BF82">
        <f t="shared" si="80"/>
        <v>3</v>
      </c>
      <c r="BG82">
        <v>-20</v>
      </c>
      <c r="BH82">
        <f t="shared" si="82"/>
        <v>1460</v>
      </c>
      <c r="BI82" s="19">
        <v>-59.755000000000003</v>
      </c>
      <c r="BJ82" s="2">
        <f t="shared" si="83"/>
        <v>1460.2450000000001</v>
      </c>
      <c r="BK82" s="23">
        <f t="shared" si="84"/>
        <v>-19.865000000000002</v>
      </c>
      <c r="BL82" s="6">
        <f t="shared" si="85"/>
        <v>-0.24500000000011823</v>
      </c>
      <c r="BM82" s="12">
        <f t="shared" si="86"/>
        <v>-0.13499999999999801</v>
      </c>
      <c r="BO82" s="20">
        <f t="shared" si="120"/>
        <v>3.0000000000001137E-2</v>
      </c>
      <c r="BQ82">
        <f t="shared" si="87"/>
        <v>3</v>
      </c>
      <c r="BR82">
        <v>-20</v>
      </c>
      <c r="BS82">
        <f t="shared" si="89"/>
        <v>1460</v>
      </c>
      <c r="BT82" s="19">
        <v>-59.76</v>
      </c>
      <c r="BU82" s="2">
        <f t="shared" si="90"/>
        <v>1460.24</v>
      </c>
      <c r="BV82" s="23">
        <f t="shared" si="72"/>
        <v>-19.835000000000001</v>
      </c>
      <c r="BW82" s="6">
        <f t="shared" si="91"/>
        <v>-0.24000000000000909</v>
      </c>
      <c r="BX82" s="12">
        <f t="shared" si="92"/>
        <v>-0.16499999999999915</v>
      </c>
      <c r="BY82" s="12"/>
      <c r="BZ82" s="20">
        <f t="shared" si="121"/>
        <v>-3.5000000000003695E-2</v>
      </c>
      <c r="CB82">
        <f t="shared" si="93"/>
        <v>3</v>
      </c>
      <c r="CC82">
        <v>-20</v>
      </c>
      <c r="CD82">
        <f t="shared" si="95"/>
        <v>1460</v>
      </c>
      <c r="CE82" s="19">
        <v>-59.77</v>
      </c>
      <c r="CF82" s="2">
        <f t="shared" si="96"/>
        <v>1460.23</v>
      </c>
      <c r="CG82" s="23">
        <f t="shared" si="73"/>
        <v>-19.870000000000005</v>
      </c>
      <c r="CH82" s="6">
        <f t="shared" si="97"/>
        <v>-0.23000000000001819</v>
      </c>
      <c r="CI82" s="12">
        <f t="shared" si="98"/>
        <v>-0.12999999999999545</v>
      </c>
      <c r="CK82" s="20">
        <f t="shared" si="122"/>
        <v>1.0000000000005116E-2</v>
      </c>
      <c r="CM82">
        <f t="shared" si="99"/>
        <v>3</v>
      </c>
      <c r="CN82">
        <v>-20</v>
      </c>
      <c r="CO82">
        <f t="shared" si="101"/>
        <v>1460</v>
      </c>
      <c r="CP82" s="19">
        <v>-59.76</v>
      </c>
      <c r="CQ82" s="2">
        <f t="shared" si="102"/>
        <v>1460.24</v>
      </c>
      <c r="CR82" s="23">
        <f t="shared" si="74"/>
        <v>-19.86</v>
      </c>
      <c r="CS82" s="6">
        <f t="shared" si="103"/>
        <v>-0.24000000000000909</v>
      </c>
      <c r="CT82" s="12">
        <f t="shared" si="104"/>
        <v>-0.14000000000000057</v>
      </c>
      <c r="CV82" s="20">
        <f t="shared" si="123"/>
        <v>-3.0000000000001137E-2</v>
      </c>
      <c r="CX82">
        <f t="shared" si="105"/>
        <v>3</v>
      </c>
      <c r="CY82">
        <v>-20</v>
      </c>
      <c r="CZ82">
        <f t="shared" si="107"/>
        <v>1460</v>
      </c>
      <c r="DA82" s="19">
        <v>-59.795000000000002</v>
      </c>
      <c r="DB82" s="2">
        <f t="shared" si="108"/>
        <v>1460.2049999999997</v>
      </c>
      <c r="DC82" s="23">
        <f t="shared" si="75"/>
        <v>-19.89</v>
      </c>
      <c r="DD82" s="6">
        <f t="shared" si="109"/>
        <v>-0.20499999999969987</v>
      </c>
      <c r="DE82" s="12">
        <f t="shared" si="110"/>
        <v>-0.10999999999999943</v>
      </c>
      <c r="DM82" s="2"/>
      <c r="DN82" s="2"/>
      <c r="DO82" s="6"/>
      <c r="DP82" s="2"/>
      <c r="DQ82" s="10"/>
    </row>
    <row r="83" spans="2:121" x14ac:dyDescent="0.45">
      <c r="B83">
        <f t="shared" si="124"/>
        <v>75</v>
      </c>
      <c r="C83">
        <v>20</v>
      </c>
      <c r="D83">
        <f t="shared" si="125"/>
        <v>1500</v>
      </c>
      <c r="E83" s="19">
        <v>1499.9649999999999</v>
      </c>
      <c r="F83" s="23">
        <f t="shared" si="126"/>
        <v>19.964999999999918</v>
      </c>
      <c r="G83" s="6">
        <f t="shared" si="111"/>
        <v>-3.5000000000081855E-2</v>
      </c>
      <c r="H83" s="12">
        <f t="shared" si="127"/>
        <v>-3.5000000000081855E-2</v>
      </c>
      <c r="J83" s="20">
        <f t="shared" si="76"/>
        <v>0</v>
      </c>
      <c r="K83" s="2"/>
      <c r="L83">
        <f t="shared" si="128"/>
        <v>75</v>
      </c>
      <c r="M83">
        <v>20</v>
      </c>
      <c r="N83">
        <f t="shared" si="129"/>
        <v>1500</v>
      </c>
      <c r="O83" s="19">
        <v>1499.97</v>
      </c>
      <c r="P83" s="23">
        <f t="shared" si="130"/>
        <v>19.964999999999918</v>
      </c>
      <c r="Q83" s="6">
        <f t="shared" si="112"/>
        <v>-2.9999999999972715E-2</v>
      </c>
      <c r="R83" s="27">
        <f t="shared" si="131"/>
        <v>-3.5000000000081855E-2</v>
      </c>
      <c r="S83" s="27"/>
      <c r="T83" s="20">
        <f t="shared" si="77"/>
        <v>-4.9999999998817657E-3</v>
      </c>
      <c r="U83" s="2"/>
      <c r="V83">
        <f t="shared" si="132"/>
        <v>75</v>
      </c>
      <c r="W83">
        <v>20</v>
      </c>
      <c r="X83">
        <f t="shared" si="133"/>
        <v>1500</v>
      </c>
      <c r="Y83" s="19">
        <v>1499.93</v>
      </c>
      <c r="Z83" s="23">
        <f t="shared" si="134"/>
        <v>19.960000000000036</v>
      </c>
      <c r="AA83" s="6">
        <f t="shared" si="113"/>
        <v>-6.9999999999936335E-2</v>
      </c>
      <c r="AB83" s="27">
        <f t="shared" si="135"/>
        <v>-3.999999999996362E-2</v>
      </c>
      <c r="AC83" s="27"/>
      <c r="AD83" s="20">
        <f t="shared" si="78"/>
        <v>-4.9999999998817657E-3</v>
      </c>
      <c r="AE83" s="2"/>
      <c r="AF83">
        <f t="shared" si="136"/>
        <v>75</v>
      </c>
      <c r="AG83">
        <v>20</v>
      </c>
      <c r="AH83">
        <f t="shared" si="137"/>
        <v>1500</v>
      </c>
      <c r="AI83" s="19">
        <v>1499.95</v>
      </c>
      <c r="AJ83" s="23">
        <f t="shared" si="138"/>
        <v>19.955000000000155</v>
      </c>
      <c r="AK83" s="6">
        <f t="shared" si="114"/>
        <v>-4.9999999999954525E-2</v>
      </c>
      <c r="AL83" s="27">
        <f t="shared" si="139"/>
        <v>-4.4999999999845386E-2</v>
      </c>
      <c r="AM83" s="27"/>
      <c r="AN83" s="20">
        <f t="shared" si="79"/>
        <v>4.9999999998817657E-3</v>
      </c>
      <c r="AO83" s="2"/>
      <c r="AP83">
        <f t="shared" si="140"/>
        <v>75</v>
      </c>
      <c r="AQ83">
        <v>20</v>
      </c>
      <c r="AR83">
        <f t="shared" si="141"/>
        <v>1500</v>
      </c>
      <c r="AS83" s="19">
        <v>1499.9349999999999</v>
      </c>
      <c r="AT83" s="23">
        <f t="shared" si="142"/>
        <v>19.960000000000036</v>
      </c>
      <c r="AU83" s="6">
        <f t="shared" si="115"/>
        <v>-6.500000000005457E-2</v>
      </c>
      <c r="AV83" s="27">
        <f t="shared" si="143"/>
        <v>-3.999999999996362E-2</v>
      </c>
      <c r="AW83" s="27"/>
      <c r="AX83" s="27"/>
      <c r="AY83" s="2">
        <f t="shared" si="116"/>
        <v>1499.95</v>
      </c>
      <c r="AZ83" s="23">
        <f t="shared" si="117"/>
        <v>19.961000000000013</v>
      </c>
      <c r="BA83" s="6">
        <f t="shared" si="118"/>
        <v>-0.05</v>
      </c>
      <c r="BB83" s="27">
        <f t="shared" si="119"/>
        <v>-3.8999999999987267E-2</v>
      </c>
      <c r="BC83" s="27"/>
      <c r="BD83" s="36"/>
      <c r="BF83">
        <f>BF84+1</f>
        <v>2</v>
      </c>
      <c r="BG83">
        <v>-20</v>
      </c>
      <c r="BH83">
        <f>BH84+BG83</f>
        <v>1480</v>
      </c>
      <c r="BI83" s="19">
        <v>-39.89</v>
      </c>
      <c r="BJ83" s="2">
        <f>BJ84+BK83</f>
        <v>1480.1100000000001</v>
      </c>
      <c r="BK83" s="23">
        <f>BI83-BI84</f>
        <v>-19.925000000000001</v>
      </c>
      <c r="BL83" s="6">
        <f t="shared" si="85"/>
        <v>-0.11000000000012733</v>
      </c>
      <c r="BM83" s="12">
        <f t="shared" si="86"/>
        <v>-7.4999999999999289E-2</v>
      </c>
      <c r="BO83" s="20">
        <f t="shared" si="120"/>
        <v>-1.4999999999997016E-2</v>
      </c>
      <c r="BQ83">
        <f>BQ84+1</f>
        <v>2</v>
      </c>
      <c r="BR83">
        <v>-20</v>
      </c>
      <c r="BS83">
        <f>BS84+BR83</f>
        <v>1480</v>
      </c>
      <c r="BT83" s="19">
        <v>-39.924999999999997</v>
      </c>
      <c r="BU83" s="2">
        <f>BU84+BV83</f>
        <v>1480.075</v>
      </c>
      <c r="BV83" s="23">
        <f>BT83-BT84</f>
        <v>-19.939999999999998</v>
      </c>
      <c r="BW83" s="6">
        <f t="shared" si="91"/>
        <v>-7.5000000000045475E-2</v>
      </c>
      <c r="BX83" s="12">
        <f t="shared" si="92"/>
        <v>-6.0000000000002274E-2</v>
      </c>
      <c r="BY83" s="12"/>
      <c r="BZ83" s="20">
        <f t="shared" si="121"/>
        <v>4.4999999999998153E-2</v>
      </c>
      <c r="CB83">
        <f>CB84+1</f>
        <v>2</v>
      </c>
      <c r="CC83">
        <v>-20</v>
      </c>
      <c r="CD83">
        <f>CD84+CC83</f>
        <v>1480</v>
      </c>
      <c r="CE83" s="19">
        <v>-39.9</v>
      </c>
      <c r="CF83" s="2">
        <f>CF84+CG83</f>
        <v>1480.1</v>
      </c>
      <c r="CG83" s="23">
        <f>CE83-CE84</f>
        <v>-19.895</v>
      </c>
      <c r="CH83" s="6">
        <f t="shared" si="97"/>
        <v>-9.9999999999909051E-2</v>
      </c>
      <c r="CI83" s="12">
        <f t="shared" si="98"/>
        <v>-0.10500000000000043</v>
      </c>
      <c r="CK83" s="20">
        <f t="shared" si="122"/>
        <v>-4.9999999999990052E-3</v>
      </c>
      <c r="CM83">
        <f>CM84+1</f>
        <v>2</v>
      </c>
      <c r="CN83">
        <v>-20</v>
      </c>
      <c r="CO83">
        <f>CO84+CN83</f>
        <v>1480</v>
      </c>
      <c r="CP83" s="19">
        <v>-39.9</v>
      </c>
      <c r="CQ83" s="2">
        <f>CQ84+CR83</f>
        <v>1480.1</v>
      </c>
      <c r="CR83" s="23">
        <f>CP83-CP84</f>
        <v>-19.899999999999999</v>
      </c>
      <c r="CS83" s="6">
        <f t="shared" si="103"/>
        <v>-9.9999999999909051E-2</v>
      </c>
      <c r="CT83" s="12">
        <f t="shared" si="104"/>
        <v>-0.10000000000000142</v>
      </c>
      <c r="CV83" s="20">
        <f t="shared" si="123"/>
        <v>1.9999999999996021E-2</v>
      </c>
      <c r="CX83">
        <f>CX84+1</f>
        <v>2</v>
      </c>
      <c r="CY83">
        <v>-20</v>
      </c>
      <c r="CZ83">
        <f>CZ84+CY83</f>
        <v>1480</v>
      </c>
      <c r="DA83" s="19">
        <v>-39.905000000000001</v>
      </c>
      <c r="DB83" s="2">
        <f>DB84+DC83</f>
        <v>1480.0949999999998</v>
      </c>
      <c r="DC83" s="23">
        <f>DA83-DA84</f>
        <v>-19.880000000000003</v>
      </c>
      <c r="DD83" s="6">
        <f t="shared" si="109"/>
        <v>-9.4999999999799911E-2</v>
      </c>
      <c r="DE83" s="12">
        <f t="shared" si="110"/>
        <v>-0.11999999999999744</v>
      </c>
      <c r="DM83" s="2"/>
      <c r="DN83" s="2"/>
      <c r="DO83" s="6"/>
      <c r="DP83" s="2"/>
      <c r="DQ83" s="10"/>
    </row>
    <row r="84" spans="2:121" x14ac:dyDescent="0.45">
      <c r="B84">
        <f t="shared" si="124"/>
        <v>76</v>
      </c>
      <c r="C84">
        <v>20</v>
      </c>
      <c r="D84">
        <f t="shared" si="125"/>
        <v>1520</v>
      </c>
      <c r="E84" s="19">
        <v>1519.92</v>
      </c>
      <c r="F84" s="23">
        <f t="shared" si="126"/>
        <v>19.955000000000155</v>
      </c>
      <c r="G84" s="6">
        <f t="shared" si="111"/>
        <v>-7.999999999992724E-2</v>
      </c>
      <c r="H84" s="12">
        <f t="shared" si="127"/>
        <v>-4.4999999999845386E-2</v>
      </c>
      <c r="J84" s="20">
        <f t="shared" si="76"/>
        <v>-2.2737367544323206E-13</v>
      </c>
      <c r="K84" s="2"/>
      <c r="L84">
        <f t="shared" si="128"/>
        <v>76</v>
      </c>
      <c r="M84">
        <v>20</v>
      </c>
      <c r="N84">
        <f t="shared" si="129"/>
        <v>1520</v>
      </c>
      <c r="O84" s="19">
        <v>1519.925</v>
      </c>
      <c r="P84" s="23">
        <f t="shared" si="130"/>
        <v>19.954999999999927</v>
      </c>
      <c r="Q84" s="6">
        <f t="shared" si="112"/>
        <v>-7.5000000000045475E-2</v>
      </c>
      <c r="R84" s="27">
        <f t="shared" si="131"/>
        <v>-4.500000000007276E-2</v>
      </c>
      <c r="S84" s="27"/>
      <c r="T84" s="20">
        <f t="shared" si="77"/>
        <v>5.0000000001091394E-3</v>
      </c>
      <c r="U84" s="2"/>
      <c r="V84">
        <f t="shared" si="132"/>
        <v>76</v>
      </c>
      <c r="W84">
        <v>20</v>
      </c>
      <c r="X84">
        <f t="shared" si="133"/>
        <v>1520</v>
      </c>
      <c r="Y84" s="19">
        <v>1519.89</v>
      </c>
      <c r="Z84" s="23">
        <f t="shared" si="134"/>
        <v>19.960000000000036</v>
      </c>
      <c r="AA84" s="6">
        <f t="shared" si="113"/>
        <v>-0.10999999999989996</v>
      </c>
      <c r="AB84" s="27">
        <f t="shared" si="135"/>
        <v>-3.999999999996362E-2</v>
      </c>
      <c r="AC84" s="27"/>
      <c r="AD84" s="20">
        <f t="shared" si="78"/>
        <v>9.9999999999909051E-3</v>
      </c>
      <c r="AE84" s="2"/>
      <c r="AF84">
        <f t="shared" si="136"/>
        <v>76</v>
      </c>
      <c r="AG84">
        <v>20</v>
      </c>
      <c r="AH84">
        <f t="shared" si="137"/>
        <v>1520</v>
      </c>
      <c r="AI84" s="19">
        <v>1519.92</v>
      </c>
      <c r="AJ84" s="23">
        <f t="shared" si="138"/>
        <v>19.970000000000027</v>
      </c>
      <c r="AK84" s="6">
        <f t="shared" si="114"/>
        <v>-7.999999999992724E-2</v>
      </c>
      <c r="AL84" s="27">
        <f t="shared" si="139"/>
        <v>-2.9999999999972715E-2</v>
      </c>
      <c r="AM84" s="27"/>
      <c r="AN84" s="20">
        <f t="shared" si="79"/>
        <v>5.0000000001091394E-3</v>
      </c>
      <c r="AO84" s="2"/>
      <c r="AP84">
        <f t="shared" si="140"/>
        <v>76</v>
      </c>
      <c r="AQ84">
        <v>20</v>
      </c>
      <c r="AR84">
        <f t="shared" si="141"/>
        <v>1520</v>
      </c>
      <c r="AS84" s="19">
        <v>1519.91</v>
      </c>
      <c r="AT84" s="23">
        <f t="shared" si="142"/>
        <v>19.975000000000136</v>
      </c>
      <c r="AU84" s="6">
        <f t="shared" si="115"/>
        <v>-8.9999999999918145E-2</v>
      </c>
      <c r="AV84" s="27">
        <f t="shared" si="143"/>
        <v>-2.4999999999863576E-2</v>
      </c>
      <c r="AW84" s="27"/>
      <c r="AX84" s="27"/>
      <c r="AY84" s="2">
        <f t="shared" si="116"/>
        <v>1519.913</v>
      </c>
      <c r="AZ84" s="23">
        <f t="shared" si="117"/>
        <v>19.963000000000058</v>
      </c>
      <c r="BA84" s="6">
        <f t="shared" si="118"/>
        <v>-8.6999999999943609E-2</v>
      </c>
      <c r="BB84" s="27">
        <f t="shared" si="119"/>
        <v>-3.6999999999943613E-2</v>
      </c>
      <c r="BC84" s="27"/>
      <c r="BD84" s="36"/>
      <c r="BF84">
        <v>1</v>
      </c>
      <c r="BG84">
        <v>-20</v>
      </c>
      <c r="BH84">
        <v>1500</v>
      </c>
      <c r="BI84" s="19">
        <v>-19.965</v>
      </c>
      <c r="BJ84" s="2">
        <f>BH85+BI84</f>
        <v>1500.0350000000001</v>
      </c>
      <c r="BK84" s="23">
        <f>BI84</f>
        <v>-19.965</v>
      </c>
      <c r="BL84" s="6">
        <f>BH84-BJ84</f>
        <v>-3.5000000000081855E-2</v>
      </c>
      <c r="BM84" s="12">
        <f>BG84-BK84</f>
        <v>-3.5000000000000142E-2</v>
      </c>
      <c r="BO84" s="20">
        <f t="shared" si="120"/>
        <v>-1.9999999999999574E-2</v>
      </c>
      <c r="BQ84">
        <v>1</v>
      </c>
      <c r="BR84">
        <v>-20</v>
      </c>
      <c r="BS84">
        <v>1500</v>
      </c>
      <c r="BT84" s="19">
        <v>-19.984999999999999</v>
      </c>
      <c r="BU84" s="2">
        <f>BS85+BT84</f>
        <v>1500.0150000000001</v>
      </c>
      <c r="BV84" s="23">
        <f>BT84</f>
        <v>-19.984999999999999</v>
      </c>
      <c r="BW84" s="6">
        <f>BS84-BU84</f>
        <v>-1.5000000000100044E-2</v>
      </c>
      <c r="BX84" s="12">
        <f>BR84-BV84</f>
        <v>-1.5000000000000568E-2</v>
      </c>
      <c r="BY84" s="12"/>
      <c r="BZ84" s="20">
        <f t="shared" si="121"/>
        <v>-1.9999999999999574E-2</v>
      </c>
      <c r="CB84">
        <v>1</v>
      </c>
      <c r="CC84">
        <v>-20</v>
      </c>
      <c r="CD84">
        <v>1500</v>
      </c>
      <c r="CE84" s="19">
        <v>-20.004999999999999</v>
      </c>
      <c r="CF84" s="2">
        <f>CD85+CE84</f>
        <v>1499.9949999999999</v>
      </c>
      <c r="CG84" s="23">
        <f>CE84</f>
        <v>-20.004999999999999</v>
      </c>
      <c r="CH84" s="6">
        <f>CD84-CF84</f>
        <v>5.0000000001091394E-3</v>
      </c>
      <c r="CI84" s="12">
        <f>CC84-CG84</f>
        <v>4.9999999999990052E-3</v>
      </c>
      <c r="CK84" s="20">
        <f t="shared" si="122"/>
        <v>4.9999999999990052E-3</v>
      </c>
      <c r="CM84">
        <v>1</v>
      </c>
      <c r="CN84">
        <v>-20</v>
      </c>
      <c r="CO84">
        <v>1500</v>
      </c>
      <c r="CP84" s="19">
        <v>-20</v>
      </c>
      <c r="CQ84" s="2">
        <f>CO85+CP84</f>
        <v>1500</v>
      </c>
      <c r="CR84" s="23">
        <f>CP84</f>
        <v>-20</v>
      </c>
      <c r="CS84" s="6">
        <f>CO84-CQ84</f>
        <v>0</v>
      </c>
      <c r="CT84" s="12">
        <f>CN84-CR84</f>
        <v>0</v>
      </c>
      <c r="CV84" s="20">
        <f t="shared" si="123"/>
        <v>-2.4999999999998579E-2</v>
      </c>
      <c r="CX84">
        <v>1</v>
      </c>
      <c r="CY84">
        <v>-20</v>
      </c>
      <c r="CZ84">
        <v>1500</v>
      </c>
      <c r="DA84" s="19">
        <v>-20.024999999999999</v>
      </c>
      <c r="DB84" s="2">
        <f>CZ85+DA84</f>
        <v>1499.9749999999999</v>
      </c>
      <c r="DC84" s="23">
        <f>DA84</f>
        <v>-20.024999999999999</v>
      </c>
      <c r="DD84" s="6">
        <f>CZ84-DB84</f>
        <v>2.5000000000090949E-2</v>
      </c>
      <c r="DE84" s="12">
        <f>CY84-DC84</f>
        <v>2.4999999999998579E-2</v>
      </c>
      <c r="DM84" s="2"/>
      <c r="DN84" s="2"/>
      <c r="DO84" s="6"/>
      <c r="DP84" s="2"/>
      <c r="DQ84" s="10"/>
    </row>
    <row r="85" spans="2:121" x14ac:dyDescent="0.45">
      <c r="E85" s="4"/>
      <c r="F85" s="4"/>
      <c r="G85" s="2"/>
      <c r="H85" s="2"/>
      <c r="BG85" t="s">
        <v>23</v>
      </c>
      <c r="BH85">
        <v>1520</v>
      </c>
      <c r="BR85" t="s">
        <v>23</v>
      </c>
      <c r="BS85">
        <v>1520</v>
      </c>
      <c r="CC85" t="s">
        <v>23</v>
      </c>
      <c r="CD85">
        <v>1520</v>
      </c>
      <c r="CN85" t="s">
        <v>23</v>
      </c>
      <c r="CO85">
        <v>1520</v>
      </c>
      <c r="CY85" t="s">
        <v>23</v>
      </c>
      <c r="CZ85">
        <v>1520</v>
      </c>
      <c r="DM85" s="2"/>
      <c r="DN85" s="2"/>
      <c r="DO85" s="6"/>
      <c r="DP85" s="2"/>
      <c r="DQ85" s="10"/>
    </row>
    <row r="86" spans="2:121" x14ac:dyDescent="0.45">
      <c r="G86" s="2"/>
      <c r="H86" s="2"/>
    </row>
    <row r="87" spans="2:121" x14ac:dyDescent="0.45">
      <c r="G87" s="2"/>
      <c r="H87" s="2"/>
    </row>
    <row r="88" spans="2:121" x14ac:dyDescent="0.45">
      <c r="G88" s="2"/>
      <c r="H88" s="2"/>
    </row>
  </sheetData>
  <mergeCells count="58">
    <mergeCell ref="CX4:DE5"/>
    <mergeCell ref="CZ7:CZ8"/>
    <mergeCell ref="DA7:DA8"/>
    <mergeCell ref="DB7:DB8"/>
    <mergeCell ref="DC7:DC8"/>
    <mergeCell ref="DD7:DD8"/>
    <mergeCell ref="DE7:DE8"/>
    <mergeCell ref="BA7:BA8"/>
    <mergeCell ref="BB7:BB8"/>
    <mergeCell ref="AY6:BB6"/>
    <mergeCell ref="CB4:CI5"/>
    <mergeCell ref="CM4:CT5"/>
    <mergeCell ref="CP7:CP8"/>
    <mergeCell ref="CQ7:CQ8"/>
    <mergeCell ref="CR7:CR8"/>
    <mergeCell ref="CS7:CS8"/>
    <mergeCell ref="AH7:AH8"/>
    <mergeCell ref="AK7:AK8"/>
    <mergeCell ref="AL7:AL8"/>
    <mergeCell ref="AP4:AV5"/>
    <mergeCell ref="AR7:AR8"/>
    <mergeCell ref="AU7:AU8"/>
    <mergeCell ref="AV7:AV8"/>
    <mergeCell ref="V4:AB5"/>
    <mergeCell ref="X7:X8"/>
    <mergeCell ref="AA7:AA8"/>
    <mergeCell ref="AB7:AB8"/>
    <mergeCell ref="AF4:AL5"/>
    <mergeCell ref="CI7:CI8"/>
    <mergeCell ref="CO7:CO8"/>
    <mergeCell ref="CT7:CT8"/>
    <mergeCell ref="BX7:BX8"/>
    <mergeCell ref="CD7:CD8"/>
    <mergeCell ref="CE7:CE8"/>
    <mergeCell ref="CF7:CF8"/>
    <mergeCell ref="CG7:CG8"/>
    <mergeCell ref="CH7:CH8"/>
    <mergeCell ref="BM7:BM8"/>
    <mergeCell ref="BS7:BS8"/>
    <mergeCell ref="BT7:BT8"/>
    <mergeCell ref="BU7:BU8"/>
    <mergeCell ref="BV7:BV8"/>
    <mergeCell ref="BW7:BW8"/>
    <mergeCell ref="BH7:BH8"/>
    <mergeCell ref="BI7:BI8"/>
    <mergeCell ref="BJ7:BJ8"/>
    <mergeCell ref="BK7:BK8"/>
    <mergeCell ref="BL7:BL8"/>
    <mergeCell ref="D7:D8"/>
    <mergeCell ref="G7:G8"/>
    <mergeCell ref="H7:H8"/>
    <mergeCell ref="N7:N8"/>
    <mergeCell ref="Q7:Q8"/>
    <mergeCell ref="R7:R8"/>
    <mergeCell ref="B4:H5"/>
    <mergeCell ref="L4:R5"/>
    <mergeCell ref="BF4:BM5"/>
    <mergeCell ref="BQ4:B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Нови измервания след калибрация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2026-08-24T10:38:44Z</dcterms:modified>
</cp:coreProperties>
</file>